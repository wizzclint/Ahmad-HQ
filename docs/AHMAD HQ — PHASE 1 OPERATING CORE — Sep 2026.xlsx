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MAD HQ — DASHBOARD" sheetId="1" r:id="rId5"/>
    <sheet state="visible" name="HQ_PLANS" sheetId="2" r:id="rId6"/>
    <sheet state="visible" name="HQ_REGISTRIES" sheetId="3" r:id="rId7"/>
    <sheet state="visible" name="HQ_PEOPLE" sheetId="4" r:id="rId8"/>
    <sheet state="visible" name="HQ_REQUESTS" sheetId="5" r:id="rId9"/>
    <sheet state="visible" name="HQ_SOURCE_MAP" sheetId="6" r:id="rId10"/>
    <sheet state="visible" name="HQ_REFERENCE_LIBRARY" sheetId="7" r:id="rId11"/>
    <sheet state="visible" name="HQ_TRAINING" sheetId="8" r:id="rId12"/>
    <sheet state="visible" name="HQ_FINANCE_REGISTER" sheetId="9" r:id="rId13"/>
    <sheet state="visible" name="HQ_PODCAST" sheetId="10" r:id="rId14"/>
    <sheet state="visible" name="HQ_PERSONAL_REGISTER" sheetId="11" r:id="rId15"/>
    <sheet state="visible" name="HQ_CUSTOMER_FOLLOWUP" sheetId="12" r:id="rId16"/>
    <sheet state="visible" name="HQ_NOTIFICATION_RULES" sheetId="13" r:id="rId17"/>
    <sheet state="visible" name="HQ_KSI" sheetId="14" r:id="rId18"/>
    <sheet state="visible" name="HQ_GARDENIA_PIPELINE" sheetId="15" r:id="rId19"/>
    <sheet state="visible" name="HQ_SYSTEM_ACCESS" sheetId="16" r:id="rId20"/>
    <sheet state="visible" name="HQ_GARDENIA_PRODUCT" sheetId="17" r:id="rId21"/>
    <sheet state="visible" name="HQ_CUSTOMER_ISSUES" sheetId="18" r:id="rId22"/>
    <sheet state="visible" name="HQ_ACCESS" sheetId="19" r:id="rId23"/>
    <sheet state="visible" name="HQ_CHECKLIST_DEFS" sheetId="20" r:id="rId24"/>
    <sheet state="visible" name="HQ_CHECKLIST_ITEMS" sheetId="21" r:id="rId25"/>
    <sheet state="visible" name="HQ_CHECKLIST_RUNS" sheetId="22" r:id="rId26"/>
    <sheet state="visible" name="HQ_TARGETS" sheetId="23" r:id="rId27"/>
    <sheet state="visible" name="HQ_BUDGETS" sheetId="24" r:id="rId28"/>
    <sheet state="visible" name="HQ_CUSTOMERS" sheetId="25" r:id="rId29"/>
    <sheet state="visible" name="HQ_REVIEWS" sheetId="26" r:id="rId30"/>
    <sheet state="visible" name="HQ_DECISIONS" sheetId="27" r:id="rId31"/>
    <sheet state="visible" name="HQ_EXCEPTIONS" sheetId="28" r:id="rId32"/>
    <sheet state="visible" name="HQ_NOTES" sheetId="29" r:id="rId33"/>
    <sheet state="visible" name="HQ_ALERTS" sheetId="30" r:id="rId34"/>
    <sheet state="visible" name="HQ_ACTIVITY" sheetId="31" r:id="rId35"/>
    <sheet state="visible" name="HQ_LEGACY_CLOSEOUT" sheetId="32" r:id="rId36"/>
    <sheet state="visible" name="HQ_PROPERTY" sheetId="33" r:id="rId37"/>
    <sheet state="visible" name="HQ_READINESS" sheetId="34" r:id="rId38"/>
    <sheet state="visible" name="HQ_PERIODS" sheetId="35" r:id="rId39"/>
    <sheet state="visible" name="MONTH PLAN" sheetId="36" r:id="rId40"/>
    <sheet state="visible" name="THIS WEEK" sheetId="37" r:id="rId41"/>
    <sheet state="visible" name="RESULTS &amp; EXCEPTIONS" sheetId="38" r:id="rId42"/>
    <sheet state="visible" name="EDIBLE — OPERATE" sheetId="39" r:id="rId43"/>
    <sheet state="visible" name="GARDENIA — OPERATE" sheetId="40" r:id="rId44"/>
    <sheet state="visible" name="CALLS &amp; FOLLOW-UP" sheetId="41" r:id="rId45"/>
    <sheet state="visible" name="PEOPLE &amp; CAPACITY" sheetId="42" r:id="rId46"/>
    <sheet state="visible" name="AHMAD — CONTROL" sheetId="43" r:id="rId47"/>
    <sheet state="visible" name="EMMANUEL — HOME" sheetId="44" r:id="rId48"/>
    <sheet state="visible" name="MOISES — HOME" sheetId="45" r:id="rId49"/>
    <sheet state="visible" name="WORK DESK — UPDATE" sheetId="46" r:id="rId50"/>
    <sheet state="visible" name="WEEK CLOSE — UPDATE" sheetId="47" r:id="rId51"/>
    <sheet state="hidden" name="90_SYSTEM_GUIDE" sheetId="48" r:id="rId52"/>
    <sheet state="hidden" name="02_PROJECTS_FUNCTIONS" sheetId="49" r:id="rId53"/>
    <sheet state="hidden" name="04_KPI_RESULTS" sheetId="50" r:id="rId54"/>
    <sheet state="hidden" name="05_PEOPLE_CAPACITY" sheetId="51" r:id="rId55"/>
    <sheet state="hidden" name="06_DECISIONS" sheetId="52" r:id="rId56"/>
    <sheet state="hidden" name="07_REFERENCE_LINKS" sheetId="53" r:id="rId57"/>
    <sheet state="hidden" name="08_LISTS" sheetId="54" r:id="rId58"/>
    <sheet state="hidden" name="10_EMMANUEL_VIEW" sheetId="55" r:id="rId59"/>
    <sheet state="hidden" name="11_MOISES_VIEW" sheetId="56" r:id="rId60"/>
    <sheet state="hidden" name="12_AHMAD_VIEW" sheetId="57" r:id="rId61"/>
  </sheets>
  <definedNames>
    <definedName hidden="1" localSheetId="40" name="_xlnm._FilterDatabase">'CALLS &amp; FOLLOW-UP'!$A$5:$N$300</definedName>
    <definedName hidden="1" localSheetId="45" name="_xlnm._FilterDatabase">'WORK DESK — UPDATE'!$A$5:$Q$12</definedName>
  </definedNames>
  <calcPr/>
</workbook>
</file>

<file path=xl/sharedStrings.xml><?xml version="1.0" encoding="utf-8"?>
<sst xmlns="http://schemas.openxmlformats.org/spreadsheetml/2006/main" count="3168" uniqueCount="1319">
  <si>
    <t>AHMAD HQ — OPERATING HOME</t>
  </si>
  <si>
    <t>Plan ID</t>
  </si>
  <si>
    <t>Period Type</t>
  </si>
  <si>
    <t>Period Key</t>
  </si>
  <si>
    <t>Business / Area</t>
  </si>
  <si>
    <t>Objective / Priority</t>
  </si>
  <si>
    <t>Critical Move?</t>
  </si>
  <si>
    <t>Lead Behavior</t>
  </si>
  <si>
    <t>Lead Behavior Actual</t>
  </si>
  <si>
    <t>Expected Outcome</t>
  </si>
  <si>
    <t>Owner</t>
  </si>
  <si>
    <t>Due</t>
  </si>
  <si>
    <t>Status</t>
  </si>
  <si>
    <t>Result</t>
  </si>
  <si>
    <t>Evidence / Source</t>
  </si>
  <si>
    <t>MANAGEMENT PULSE — WHAT NEEDS ATTENTION</t>
  </si>
  <si>
    <t>SUN</t>
  </si>
  <si>
    <t>MON</t>
  </si>
  <si>
    <t>TUE</t>
  </si>
  <si>
    <t>WED</t>
  </si>
  <si>
    <t>THU</t>
  </si>
  <si>
    <t>FRI</t>
  </si>
  <si>
    <t>SAT</t>
  </si>
  <si>
    <t>Name</t>
  </si>
  <si>
    <t>Email</t>
  </si>
  <si>
    <t>Role</t>
  </si>
  <si>
    <t>Function / Area</t>
  </si>
  <si>
    <t>Availability</t>
  </si>
  <si>
    <t>Responsibilities</t>
  </si>
  <si>
    <t>Backup</t>
  </si>
  <si>
    <t>Priority Load</t>
  </si>
  <si>
    <t>30</t>
  </si>
  <si>
    <t>Coverage Status</t>
  </si>
  <si>
    <t>Training Status</t>
  </si>
  <si>
    <t>Active?</t>
  </si>
  <si>
    <t>Notes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</si>
  <si>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</si>
  <si>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</si>
  <si>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</si>
  <si>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</si>
  <si>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</si>
  <si>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</si>
  <si>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</si>
  <si>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</si>
  <si>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</si>
  <si>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</si>
  <si>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</si>
  <si>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</si>
  <si>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</si>
  <si>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</si>
  <si>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</si>
  <si>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</si>
  <si>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</si>
  <si>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</si>
  <si>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</si>
  <si>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</si>
  <si>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</si>
  <si>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</si>
  <si>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</si>
  <si>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</si>
  <si>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</si>
  <si>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</si>
  <si>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</si>
  <si>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</si>
  <si>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</si>
  <si>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</si>
  <si>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THIS WEEK — 6 MEANINGFUL MOVES</t>
  </si>
  <si>
    <t>FUNCTION / PROJECT</t>
  </si>
  <si>
    <t>WHAT MUST HAPPEN</t>
  </si>
  <si>
    <t>OWNER</t>
  </si>
  <si>
    <t>DUE</t>
  </si>
  <si>
    <t>STATUS</t>
  </si>
  <si>
    <t>WHY / RESULT</t>
  </si>
  <si>
    <t>WAITING / ESCALATE</t>
  </si>
  <si>
    <t>Request ID</t>
  </si>
  <si>
    <t>Date</t>
  </si>
  <si>
    <t>Request Type</t>
  </si>
  <si>
    <t>Request / Issue</t>
  </si>
  <si>
    <t>Severity / Urgency</t>
  </si>
  <si>
    <t>Approval Status</t>
  </si>
  <si>
    <t>Evidence / Photo</t>
  </si>
  <si>
    <t>Resolution</t>
  </si>
  <si>
    <t>OPERATING AREAS — PURPOSE • CURRENT STATE • WHAT'S NEXT</t>
  </si>
  <si>
    <t>AREA</t>
  </si>
  <si>
    <t>FOCUS</t>
  </si>
  <si>
    <t>PURPOSE / OUTCOME</t>
  </si>
  <si>
    <t>CURRENT MILESTONE</t>
  </si>
  <si>
    <t>WHAT'S NEXT</t>
  </si>
  <si>
    <t>Metric / Control</t>
  </si>
  <si>
    <t>Input Owner</t>
  </si>
  <si>
    <t>Authoritative Source</t>
  </si>
  <si>
    <t>Frequency</t>
  </si>
  <si>
    <t>Evidence Location</t>
  </si>
  <si>
    <t>Calculation / Rule</t>
  </si>
  <si>
    <t>Destination Screen</t>
  </si>
  <si>
    <t>Last Verified</t>
  </si>
  <si>
    <t>Shared Management</t>
  </si>
  <si>
    <t>QUICK DOORS — WORK FROM HERE, DON'T HUNT FOR FILES</t>
  </si>
  <si>
    <t>Weekly priorities / Critical Moves / owned work</t>
  </si>
  <si>
    <t>Emmanuel</t>
  </si>
  <si>
    <t>AHMAD HQ — WORK DESK — UPDATE + THIS WEEK</t>
  </si>
  <si>
    <t>Weekly / live</t>
  </si>
  <si>
    <t>https://docs.google.com/spreadsheets/d/1_zaAT-zqEQhwTW2ZNRLSnH8Peed7zZTzi3kd0RUHQRQ/edit</t>
  </si>
  <si>
    <t>One management work record carries owner, due, status, result, evidence, blocker and escalation; role views compress from it.</t>
  </si>
  <si>
    <t>THIS WEEK; EMMANUEL — HOME; AHMAD — CONTROL</t>
  </si>
  <si>
    <t>VERIFIED INTERNAL MANAGEMENT SOURCE</t>
  </si>
  <si>
    <t>2026-09-01</t>
  </si>
  <si>
    <t>Finance &amp; Office</t>
  </si>
  <si>
    <t>Weekly finance close / control status / exceptions</t>
  </si>
  <si>
    <t>Moises</t>
  </si>
  <si>
    <t>OFFICE FINANCE — LIVE CONTROL SYSTEM — REVISED Aug 2026</t>
  </si>
  <si>
    <t>Weekly</t>
  </si>
  <si>
    <t>https://docs.google.com/spreadsheets/d/1zrY3SOQiF2g8A_7z4ynA9mVnM7_qsvS8eBsebBRplmc/edit</t>
  </si>
  <si>
    <t>Weekly Review + Evidence Register + underlying account detail; one completion should feed management review, not parallel duplicate checkmarks.</t>
  </si>
  <si>
    <t>MOISES — HOME; HQ_CHECKLIST_RUNS; RESULTS &amp; EXCEPTIONS</t>
  </si>
  <si>
    <t>VERIFIED STRUCTURE / LIVE USE EARLY</t>
  </si>
  <si>
    <t>Books current / cash / A-P / A-R / payroll / reconciliations</t>
  </si>
  <si>
    <t>QuickBooks + banks/cards/merchant/payroll source systems; Finance control workbook is management-control layer</t>
  </si>
  <si>
    <t>Weekly / monthly</t>
  </si>
  <si>
    <t>Finance control workbook + linked evidence/Drive</t>
  </si>
  <si>
    <t>Actuals must reconcile to transactional source; HQ receives current-through date, status, variance, exception and material decision.</t>
  </si>
  <si>
    <t>HQ_KSI; HQ_TARGETS; MOISES — HOME; AHMAD — CONTROL</t>
  </si>
  <si>
    <t>SOURCE ROLE VERIFIED / CONNECTION NOT YET VERIFIED</t>
  </si>
  <si>
    <t>Edible</t>
  </si>
  <si>
    <t>Store operating controls / Week Close / operational exceptions</t>
  </si>
  <si>
    <t>Store Lead → Emmanuel</t>
  </si>
  <si>
    <t>Edible Hackensack — Store Operations Control System — v3 — Aug 2026</t>
  </si>
  <si>
    <t>Daily / weekly / monthly</t>
  </si>
  <si>
    <t>https://docs.google.com/spreadsheets/d/1_qBjYd0F4BYYTxLMJjEZbQynBdHH5JGe83-U7nheJOE/edit</t>
  </si>
  <si>
    <t>Detailed work stays in Edible operating system; Week Close/results/exceptions roll upward; HQ is not a second store checklist.</t>
  </si>
  <si>
    <t>EDIBLE — OPERATE; HQ_CHECKLIST_RUNS; RESULTS &amp; EXCEPTIONS</t>
  </si>
  <si>
    <t>VERIFIED STRUCTURE / ADOPTION EARLY</t>
  </si>
  <si>
    <t>Sales / orders / average ticket</t>
  </si>
  <si>
    <t>Emmanuel / Store</t>
  </si>
  <si>
    <t>Edible franchise/POS source; weekly management report is current reporting layer</t>
  </si>
  <si>
    <t>https://docs.google.com/spreadsheets/d/1Y1auf1Xc_wzNI4vh90JABYfC7HoifdcC/edit</t>
  </si>
  <si>
    <t>POS is transactional truth; management report/HQ must preserve week, comparable period, actual, target and variance.</t>
  </si>
  <si>
    <t>EDIBLE — OPERATE; HQ_TARGETS; HQ_KSI</t>
  </si>
  <si>
    <t>REPORT SOURCE VERIFIED / POS CONNECTION NOT VERIFIED</t>
  </si>
  <si>
    <t>Labor / COGS / waste / refunds</t>
  </si>
  <si>
    <t>Emmanuel + Moises</t>
  </si>
  <si>
    <t>Payroll/timeclock + POS/franchise + accounting sources; Edible KPI/Week Close is management layer</t>
  </si>
  <si>
    <t>Edible v3 + Finance evidence</t>
  </si>
  <si>
    <t>Use source actuals; compare to target; exception when materially outside standard; preserve cause/action.</t>
  </si>
  <si>
    <t>EDIBLE — OPERATE; HQ_KSI; RESULTS &amp; EXCEPTIONS</t>
  </si>
  <si>
    <t>SOURCE MODEL VERIFIED / WIRING NOT VERIFIED</t>
  </si>
  <si>
    <t>Gardenia's Fire</t>
  </si>
  <si>
    <t>Launch priorities / field activity / weekly conversion learning</t>
  </si>
  <si>
    <t>HQ Work Desk + Month Plan + Emmanuel weekly/September operating control</t>
  </si>
  <si>
    <t>Daily / weekly</t>
  </si>
  <si>
    <t>AHMAD HQ Phase 1 Core + current operating schedule/control materials</t>
  </si>
  <si>
    <t>Plan work in HQ; field execution produces coded outcomes, owner/date, follow-up, conversion learning and next move.</t>
  </si>
  <si>
    <t>GARDENIA — OPERATE; THIS WEEK; EMMANUEL — HOME</t>
  </si>
  <si>
    <t>VERIFIED MANAGEMENT SOURCE / LIVE SALES DATA EARLY</t>
  </si>
  <si>
    <t>Prospects / contacts / tastings / proposals / standing-account pipeline</t>
  </si>
  <si>
    <t>Emmanuel / revenue owner</t>
  </si>
  <si>
    <t>Shopify planned commerce/order/customer source + accounting for financial truth; Emmanuel's real-life operating process owns product development/testing</t>
  </si>
  <si>
    <t>Live / weekly / monthly</t>
  </si>
  <si>
    <t>Shopify/QuickBooks once configured; real-life operating evidence until then</t>
  </si>
  <si>
    <t>Commerce/accounting own transactions and financial truth; Emmanuel's operating process owns product development. HQ receives sellable-readiness state, revenue, orders, repeat/standing accounts, decision-useful margin/capacity, exceptions and decisions.</t>
  </si>
  <si>
    <t>GARDENIA — OPERATE; HQ_TARGETS; HQ_KSI; AHMAD — CONTROL</t>
  </si>
  <si>
    <t>PLANNED SOURCE / PRODUCT-DEVELOPMENT BOUNDARY CORRECTED</t>
  </si>
  <si>
    <t>2026-09-03</t>
  </si>
  <si>
    <t>Orders / standing cadence / revenue / repeat / margin</t>
  </si>
  <si>
    <t>Shopify planned commerce/order/customer source + accounting for financial truth</t>
  </si>
  <si>
    <t>Shopify/QuickBooks once configured; HQ product/costing currently interim</t>
  </si>
  <si>
    <t>Commerce system owns transactions; HQ receives revenue, orders, repeat/standing accounts, margin and exceptions.</t>
  </si>
  <si>
    <t>PLANNED SOURCE / NOT READY</t>
  </si>
  <si>
    <t>Ironmark</t>
  </si>
  <si>
    <t>Pilot lane / providers / leads / completed jobs / economics / quality</t>
  </si>
  <si>
    <t>Emmanuel / assigned revenue owner</t>
  </si>
  <si>
    <t>Actual schedules/payroll/HR source where applicable; PEOPLE &amp; CAPACITY is management snapshot; HQ_ACCESS is permission truth; HQ_PEOPLE only for consequential role/coverage state if needed</t>
  </si>
  <si>
    <t>Weekly / on change</t>
  </si>
  <si>
    <t>Authoritative schedule/HR source + AHMAD HQ Phase 1 Core</t>
  </si>
  <si>
    <t>Do not maintain a duplicate full roster/schedule in HQ. Surface only role ownership, current capacity/conflict, backup/coverage, material availability change and management exception.</t>
  </si>
  <si>
    <t>PEOPLE &amp; CAPACITY; role Homes; HQ_ACCESS</t>
  </si>
  <si>
    <t>BOUNDARY CORRECTED — MANAGEMENT SNAPSHOT, NOT HR/SCHEDULE SYSTEM</t>
  </si>
  <si>
    <t>People &amp; Systems</t>
  </si>
  <si>
    <t>Role access / management depth / current capacity</t>
  </si>
  <si>
    <t>HQ_ACCESS + PEOPLE &amp; CAPACITY; HQ_PEOPLE is intended durable people register</t>
  </si>
  <si>
    <t>AHMAD HQ Phase 1 Core</t>
  </si>
  <si>
    <t>Separate confirmed roles/capacity from provisional roles; permissions must match management level and sensitive-area restrictions.</t>
  </si>
  <si>
    <t>PARTIAL / HQ_PEOPLE NOT POPULATED</t>
  </si>
  <si>
    <t>Podcast / Legacy</t>
  </si>
  <si>
    <t>Asset stage / review / edit / retain / publish next action</t>
  </si>
  <si>
    <t>Ahmad + Emmanuel</t>
  </si>
  <si>
    <t>Google Drive canonical podcast/video folders + HQ_PODCAST management register</t>
  </si>
  <si>
    <t>Weekly / per asset</t>
  </si>
  <si>
    <t>Drive source assets; HQ_PODCAST intended management state</t>
  </si>
  <si>
    <t>Drive owns files; HQ owns stage, owner, due, current/future-use decision and next action.</t>
  </si>
  <si>
    <t>THIS WEEK; HQ_PODCAST; EMMANUEL — HOME</t>
  </si>
  <si>
    <t>SOURCE MODEL VERIFIED / HQ REGISTER NOT POPULATED</t>
  </si>
  <si>
    <t>Personal / Ahmad</t>
  </si>
  <si>
    <t>Bills / obligations / recurring charges / deadlines / material exceptions</t>
  </si>
  <si>
    <t>Moises + Emmanuel</t>
  </si>
  <si>
    <t>Bank/provider/account sources + Drive evidence; HQ_PERSONAL_REGISTER is management-control layer</t>
  </si>
  <si>
    <t>Source map/evidence still to be established</t>
  </si>
  <si>
    <t>Do not recreate bookkeeping; surface upcoming obligations, money movement, deadlines, exceptions and decisions to Ahmad.</t>
  </si>
  <si>
    <t>AHMAD — CONTROL; MOISES — HOME; HQ_PERSONAL_REGISTER</t>
  </si>
  <si>
    <t>NOT YET POPULATED / SOURCE VERIFICATION REQUIRED</t>
  </si>
  <si>
    <t>Role / Person</t>
  </si>
  <si>
    <t>Capability / Training</t>
  </si>
  <si>
    <t>Required?</t>
  </si>
  <si>
    <t>Evidence / Guide</t>
  </si>
  <si>
    <t>Registry Type</t>
  </si>
  <si>
    <t>Purpose / Responsibility</t>
  </si>
  <si>
    <t>Cadence / Stage</t>
  </si>
  <si>
    <t>Backup / Contact</t>
  </si>
  <si>
    <t>Source / Evidence</t>
  </si>
  <si>
    <t>Register Type</t>
  </si>
  <si>
    <t>Entity / Property</t>
  </si>
  <si>
    <t>Account / Policy / Vendor / Tax</t>
  </si>
  <si>
    <t>Amount / Balance</t>
  </si>
  <si>
    <t>Effective / Filing / Renewal</t>
  </si>
  <si>
    <t>Due / Next Date</t>
  </si>
  <si>
    <t>Next Action</t>
  </si>
  <si>
    <t>Credit Line</t>
  </si>
  <si>
    <t>EA Hackensack</t>
  </si>
  <si>
    <t>Chase LOC</t>
  </si>
  <si>
    <t>STALE / RECONCILE REQUIRED</t>
  </si>
  <si>
    <t>Source dated 2025-09-25</t>
  </si>
  <si>
    <t>Verify now</t>
  </si>
  <si>
    <t>Balances (Updated 01.01.26) — EA HACKENSACK tab</t>
  </si>
  <si>
    <t>Reconcile to Chase documents + QuickBooks + current statement</t>
  </si>
  <si>
    <t>Working balance only; Chase litigation/credit-line correspondence now active.</t>
  </si>
  <si>
    <t>Credit Card</t>
  </si>
  <si>
    <t>Chase card</t>
  </si>
  <si>
    <t>Reconcile to card statement + QuickBooks</t>
  </si>
  <si>
    <t>Working balance.</t>
  </si>
  <si>
    <t>A/P</t>
  </si>
  <si>
    <t>Plainfield Produce</t>
  </si>
  <si>
    <t>Undated row in working balance sheet</t>
  </si>
  <si>
    <t>Check QuickBooks A/P aging/vendor detail and vendor statement</t>
  </si>
  <si>
    <t>Potential open vendor balance.</t>
  </si>
  <si>
    <t>BMS Office</t>
  </si>
  <si>
    <t>Balances (Updated 01.01.26) — BMS OFFICE tab</t>
  </si>
  <si>
    <t>Buyahka</t>
  </si>
  <si>
    <t>First Commerce LOC</t>
  </si>
  <si>
    <t>Balances (Updated 01.01.26) — BUYAHKA tab</t>
  </si>
  <si>
    <t>Reconcile to First Commerce statements/loan docs + QuickBooks</t>
  </si>
  <si>
    <t>Sheet notes approx. $3,443 available and no principal paid as of source date.</t>
  </si>
  <si>
    <t>Five Star Bath</t>
  </si>
  <si>
    <t>Provident + Shell</t>
  </si>
  <si>
    <t>Balances (Updated 01.01.26) — FIVE STAR BATH tab</t>
  </si>
  <si>
    <t>Reconcile cards to statements + QuickBooks</t>
  </si>
  <si>
    <t>Provident 33,329.67 + Shell 335.12.</t>
  </si>
  <si>
    <t>Five Star Corp + Tom + WXYZ Scripps</t>
  </si>
  <si>
    <t>Mixed/older source dates</t>
  </si>
  <si>
    <t>Check QuickBooks A/P aging, vendor statements and dispute/payment status</t>
  </si>
  <si>
    <t>Includes Five Star Corp 22,187.56; accountant 1,500; WXYZ 18,600.</t>
  </si>
  <si>
    <t>Personal Credit Card</t>
  </si>
  <si>
    <t>Ahmad Personal / business-use overlap</t>
  </si>
  <si>
    <t>Capital One cards</t>
  </si>
  <si>
    <t>Moises + Ahmad</t>
  </si>
  <si>
    <t>Balances (Updated 01.01.26) — AHMAD PERSONAL tab</t>
  </si>
  <si>
    <t>Reconcile to current Capital One statements + QuickBooks allocations/reimbursements</t>
  </si>
  <si>
    <t>Sheet says one card used for Edible; another used for personal and FSBS.</t>
  </si>
  <si>
    <t>Cash Plan</t>
  </si>
  <si>
    <t>Sep-Dec 2026 forward cash/distribution plan</t>
  </si>
  <si>
    <t>ACTIVE WORKING PLAN / VERIFY ACTUALS</t>
  </si>
  <si>
    <t>See source</t>
  </si>
  <si>
    <t>Sep-Dec 2026</t>
  </si>
  <si>
    <t>Monthly</t>
  </si>
  <si>
    <t>Buyahka Compensation</t>
  </si>
  <si>
    <t>Reconcile actual receipts/payments monthly to bank + QuickBooks</t>
  </si>
  <si>
    <t>Shows Flower Shop and NY Elevators inflows, recurring property costs, loan payment and planned payments to Ahmad/Hackensack reimbursement.</t>
  </si>
  <si>
    <t>Reference Type</t>
  </si>
  <si>
    <t>Title</t>
  </si>
  <si>
    <t>Current?</t>
  </si>
  <si>
    <t>Audience / Role</t>
  </si>
  <si>
    <t>Source / Drive Link</t>
  </si>
  <si>
    <t>Supersedes / Replaces</t>
  </si>
  <si>
    <t>Item ID</t>
  </si>
  <si>
    <t>Episode / Asset</t>
  </si>
  <si>
    <t>Stage</t>
  </si>
  <si>
    <t>Item Type</t>
  </si>
  <si>
    <t>Current / Future Use</t>
  </si>
  <si>
    <t>Publish Target / Platform</t>
  </si>
  <si>
    <t>Item / Account / Policy</t>
  </si>
  <si>
    <t>Amount</t>
  </si>
  <si>
    <t>Expected / Renewal / Due</t>
  </si>
  <si>
    <t>Exception?</t>
  </si>
  <si>
    <t>Rule ID</t>
  </si>
  <si>
    <t>Area</t>
  </si>
  <si>
    <t>Trigger</t>
  </si>
  <si>
    <t>Severity</t>
  </si>
  <si>
    <t>Delivery</t>
  </si>
  <si>
    <t>Recipient / Role</t>
  </si>
  <si>
    <t>Last Fired</t>
  </si>
  <si>
    <t>Metric / Indicator</t>
  </si>
  <si>
    <t>Cadence</t>
  </si>
  <si>
    <t>Threshold / Target</t>
  </si>
  <si>
    <t>Direction</t>
  </si>
  <si>
    <t>Current</t>
  </si>
  <si>
    <t>Last Updated</t>
  </si>
  <si>
    <t>Next Move</t>
  </si>
  <si>
    <t>Account / Prospect</t>
  </si>
  <si>
    <t>Contact / Company</t>
  </si>
  <si>
    <t>Last Contact</t>
  </si>
  <si>
    <t>Next Follow-up</t>
  </si>
  <si>
    <t>Tasting / Sample</t>
  </si>
  <si>
    <t>Standing Cadence</t>
  </si>
  <si>
    <t>Revenue / Value</t>
  </si>
  <si>
    <t>Risk</t>
  </si>
  <si>
    <t>System / Account</t>
  </si>
  <si>
    <t>User / Role</t>
  </si>
  <si>
    <t>Access Level</t>
  </si>
  <si>
    <t>Owner / Admin</t>
  </si>
  <si>
    <t>Source / Login Page</t>
  </si>
  <si>
    <t>Follow-up ID</t>
  </si>
  <si>
    <t>Business</t>
  </si>
  <si>
    <t>Customer / Recipient</t>
  </si>
  <si>
    <t>Trigger / Segment</t>
  </si>
  <si>
    <t>Priority</t>
  </si>
  <si>
    <t>Product / Test</t>
  </si>
  <si>
    <t>Standard / Specification</t>
  </si>
  <si>
    <t>Test Status</t>
  </si>
  <si>
    <t>Unit Cost</t>
  </si>
  <si>
    <t>Price</t>
  </si>
  <si>
    <t>Target Margin</t>
  </si>
  <si>
    <t>Actual Margin</t>
  </si>
  <si>
    <t>Week</t>
  </si>
  <si>
    <t>Open Assumption / Issue</t>
  </si>
  <si>
    <t>Year</t>
  </si>
  <si>
    <t>Issue Type</t>
  </si>
  <si>
    <t>Customer</t>
  </si>
  <si>
    <t>Reason / Theme</t>
  </si>
  <si>
    <t>Amount / Value</t>
  </si>
  <si>
    <t>Recovery / Action</t>
  </si>
  <si>
    <t>Can See All?</t>
  </si>
  <si>
    <t>ahmad@wolfventuresnj.com</t>
  </si>
  <si>
    <t>Ahmad</t>
  </si>
  <si>
    <t>Executive Owner</t>
  </si>
  <si>
    <t>All</t>
  </si>
  <si>
    <t>Yes</t>
  </si>
  <si>
    <t>Checklist ID</t>
  </si>
  <si>
    <t>Full owner visibility</t>
  </si>
  <si>
    <t>emmanuel@wolfventuresnj.com</t>
  </si>
  <si>
    <t>Checklist Name</t>
  </si>
  <si>
    <t>Emmanuel Nwachukwy</t>
  </si>
  <si>
    <t>Owner Role</t>
  </si>
  <si>
    <t>Coordinator / Integrator</t>
  </si>
  <si>
    <t>Shared Management; Edible; Gardenia's Fire; Finance &amp; Office; Legacy Closeout; Buyahka / Property; People &amp; Systems; Podcast / Legacy; Iron Marks</t>
  </si>
  <si>
    <t>Evidence Required?</t>
  </si>
  <si>
    <t>No</t>
  </si>
  <si>
    <t>Multi-area operating access; Personal / Ahmad intentionally excluded.</t>
  </si>
  <si>
    <t>Sort</t>
  </si>
  <si>
    <t>bookkeeper@wolfventuresnj.com</t>
  </si>
  <si>
    <t>Moises A. San Miguel</t>
  </si>
  <si>
    <t>ED-OPEN</t>
  </si>
  <si>
    <t>Finance / Bookkeeping</t>
  </si>
  <si>
    <t>Finance &amp; Office; Edible; Gardenia's Fire; Legacy Closeout; Buyahka / Property</t>
  </si>
  <si>
    <t>Store</t>
  </si>
  <si>
    <t>Finance/data/control access; Personal / Ahmad intentionally excluded.</t>
  </si>
  <si>
    <t>Opening Checklist</t>
  </si>
  <si>
    <t>DAILY</t>
  </si>
  <si>
    <t>Store Lead</t>
  </si>
  <si>
    <t>ED-PROD</t>
  </si>
  <si>
    <t>Production Readiness</t>
  </si>
  <si>
    <t>ED-QA</t>
  </si>
  <si>
    <t>Food Safety / Quality</t>
  </si>
  <si>
    <t>ED-CLEAN</t>
  </si>
  <si>
    <t>Cleaning / Sanitation</t>
  </si>
  <si>
    <t>Store Team</t>
  </si>
  <si>
    <t>ED-INV</t>
  </si>
  <si>
    <t>Inventory / Supplies</t>
  </si>
  <si>
    <t>ED-CUST</t>
  </si>
  <si>
    <t>Customer Issues / Guest Connect</t>
  </si>
  <si>
    <t>ED-CLOSE</t>
  </si>
  <si>
    <t>Closing Checklist</t>
  </si>
  <si>
    <t>ED-WEEK</t>
  </si>
  <si>
    <t>Management</t>
  </si>
  <si>
    <t>Edible Weekly Management Review</t>
  </si>
  <si>
    <t>WEEKLY</t>
  </si>
  <si>
    <t>Coordinator</t>
  </si>
  <si>
    <t>FI-WEEK</t>
  </si>
  <si>
    <t>Finance Week Close</t>
  </si>
  <si>
    <t>Finance</t>
  </si>
  <si>
    <t>HQ-WEEK</t>
  </si>
  <si>
    <t>HQ Week Close</t>
  </si>
  <si>
    <t>HQ-MONTH</t>
  </si>
  <si>
    <t>HQ Month Close</t>
  </si>
  <si>
    <t>MONTHLY</t>
  </si>
  <si>
    <t>GF-WEEK</t>
  </si>
  <si>
    <t>Gardenia Weekly Review</t>
  </si>
  <si>
    <t>LC-WEEK</t>
  </si>
  <si>
    <t>Legacy Closeout</t>
  </si>
  <si>
    <t>Legacy Closeout Weekly Review</t>
  </si>
  <si>
    <t>Item</t>
  </si>
  <si>
    <t>Escalate On Fail?</t>
  </si>
  <si>
    <t>ED-OPEN-01</t>
  </si>
  <si>
    <t>Front/store opening condition</t>
  </si>
  <si>
    <t>ED-OPEN-02</t>
  </si>
  <si>
    <t>Phones / tablets / POS ready</t>
  </si>
  <si>
    <t>ED-OPEN-03</t>
  </si>
  <si>
    <t>Fruit / ingredients readiness</t>
  </si>
  <si>
    <t>ED-OPEN-04</t>
  </si>
  <si>
    <t>Production plan reviewed</t>
  </si>
  <si>
    <t>ED-OPEN-05</t>
  </si>
  <si>
    <t>Delivery / pickup schedule reviewed</t>
  </si>
  <si>
    <t>ED-OPEN-06</t>
  </si>
  <si>
    <t>Staff coverage confirmed</t>
  </si>
  <si>
    <t>ED-OPEN-07</t>
  </si>
  <si>
    <t>Cleaning / sanitation opening check</t>
  </si>
  <si>
    <t>ED-OPEN-08</t>
  </si>
  <si>
    <t>Critical supplies available</t>
  </si>
  <si>
    <t>ED-PROD-01</t>
  </si>
  <si>
    <t>Orders prioritized by promise time</t>
  </si>
  <si>
    <t>ED-PROD-02</t>
  </si>
  <si>
    <t>Fruit prep plan ready</t>
  </si>
  <si>
    <t>ED-PROD-03</t>
  </si>
  <si>
    <t>Chocolate / ingredients ready</t>
  </si>
  <si>
    <t>ED-PROD-04</t>
  </si>
  <si>
    <t>Packaging / containers ready</t>
  </si>
  <si>
    <t>ED-PROD-05</t>
  </si>
  <si>
    <t>Delivery orders staged</t>
  </si>
  <si>
    <t>ED-PROD-06</t>
  </si>
  <si>
    <t>Special instructions reviewed</t>
  </si>
  <si>
    <t>ED-QA-01</t>
  </si>
  <si>
    <t>Refrigeration / cold holding acceptable</t>
  </si>
  <si>
    <t>ED-QA-02</t>
  </si>
  <si>
    <t>Fruit quality acceptable</t>
  </si>
  <si>
    <t>ED-QA-03</t>
  </si>
  <si>
    <t>Chocolate / product quality acceptable</t>
  </si>
  <si>
    <t>ED-QA-04</t>
  </si>
  <si>
    <t>Sanitation standard met</t>
  </si>
  <si>
    <t>ED-QA-05</t>
  </si>
  <si>
    <t>Finished product presentation acceptable</t>
  </si>
  <si>
    <t>Run ID</t>
  </si>
  <si>
    <t>ED-CLEAN-01</t>
  </si>
  <si>
    <t>Scheduled Date</t>
  </si>
  <si>
    <t>Production surfaces cleaned</t>
  </si>
  <si>
    <t>Required Items</t>
  </si>
  <si>
    <t>Completed Items</t>
  </si>
  <si>
    <t>Completion %</t>
  </si>
  <si>
    <t>On Time?</t>
  </si>
  <si>
    <t>ED-CLEAN-02</t>
  </si>
  <si>
    <t>Exceptions</t>
  </si>
  <si>
    <t>Sinks / tools sanitized</t>
  </si>
  <si>
    <t>Evidence Complete?</t>
  </si>
  <si>
    <t>Started At</t>
  </si>
  <si>
    <t>Completed At</t>
  </si>
  <si>
    <t>Last Update</t>
  </si>
  <si>
    <t>ED-OPEN-2026-08-30</t>
  </si>
  <si>
    <t>ED-CLEAN-03</t>
  </si>
  <si>
    <t>Floors / visible areas clean</t>
  </si>
  <si>
    <t>ED-CLEAN-04</t>
  </si>
  <si>
    <t>Trash removed</t>
  </si>
  <si>
    <t>ED-CLEAN-05</t>
  </si>
  <si>
    <t>Restroom / customer area checked</t>
  </si>
  <si>
    <t>Not Started</t>
  </si>
  <si>
    <t>ED-INV-01</t>
  </si>
  <si>
    <t>Fruit shortages identified</t>
  </si>
  <si>
    <t>ED-PROD-2026-08-30</t>
  </si>
  <si>
    <t>ED-INV-02</t>
  </si>
  <si>
    <t>Packaging shortages identified</t>
  </si>
  <si>
    <t>ED-INV-03</t>
  </si>
  <si>
    <t>Chocolate / ingredient shortages identified</t>
  </si>
  <si>
    <t>ED-QA-2026-08-30</t>
  </si>
  <si>
    <t>ED-INV-04</t>
  </si>
  <si>
    <t>Supply purchase request submitted if needed</t>
  </si>
  <si>
    <t>ED-CUST-01</t>
  </si>
  <si>
    <t>Open customer complaints reviewed</t>
  </si>
  <si>
    <t>ED-CLEAN-2026-08-30</t>
  </si>
  <si>
    <t>ED-CUST-02</t>
  </si>
  <si>
    <t>Refunds / credits / voids reviewed</t>
  </si>
  <si>
    <t>ED-CUST-03</t>
  </si>
  <si>
    <t>Recovery actions assigned</t>
  </si>
  <si>
    <t>ED-INV-2026-08-30</t>
  </si>
  <si>
    <t>ED-CUST-04</t>
  </si>
  <si>
    <t>Negative reviews / guest connects checked</t>
  </si>
  <si>
    <t>ED-CLOSE-01</t>
  </si>
  <si>
    <t>All same-day orders completed / accounted for</t>
  </si>
  <si>
    <t>ED-CUST-2026-08-30</t>
  </si>
  <si>
    <t>ED-CLOSE-02</t>
  </si>
  <si>
    <t>Tomorrow priority orders reviewed</t>
  </si>
  <si>
    <t>ED-CLOSE-03</t>
  </si>
  <si>
    <t>Production area cleaned / sanitized</t>
  </si>
  <si>
    <t>ED-CLOSE-2026-08-30</t>
  </si>
  <si>
    <t>ED-WEEK-2026-W35</t>
  </si>
  <si>
    <t>Month</t>
  </si>
  <si>
    <t>Metric</t>
  </si>
  <si>
    <t>Last Year</t>
  </si>
  <si>
    <t>Target</t>
  </si>
  <si>
    <t>Actual</t>
  </si>
  <si>
    <t>Variance</t>
  </si>
  <si>
    <t>Variance %</t>
  </si>
  <si>
    <t>YoY %</t>
  </si>
  <si>
    <t>Forecast</t>
  </si>
  <si>
    <t>4W Trend</t>
  </si>
  <si>
    <t>YTD Actual</t>
  </si>
  <si>
    <t>YTD Last Year</t>
  </si>
  <si>
    <t>YTD Target</t>
  </si>
  <si>
    <t>Source</t>
  </si>
  <si>
    <t>Revenue Budget</t>
  </si>
  <si>
    <t>Gross Profit Budget</t>
  </si>
  <si>
    <t>Net Profit Budget</t>
  </si>
  <si>
    <t>Labor Budget</t>
  </si>
  <si>
    <t>COGS Budget</t>
  </si>
  <si>
    <t>Marketing Budget</t>
  </si>
  <si>
    <t>Other Budget</t>
  </si>
  <si>
    <t>Money Required</t>
  </si>
  <si>
    <t>Expected Return</t>
  </si>
  <si>
    <t>Forecast Revenue</t>
  </si>
  <si>
    <t>Forecast Net Profit</t>
  </si>
  <si>
    <t>Type</t>
  </si>
  <si>
    <t>Revenue</t>
  </si>
  <si>
    <t>Orders</t>
  </si>
  <si>
    <t>New / Repeat</t>
  </si>
  <si>
    <t>Recipient?</t>
  </si>
  <si>
    <t>Recipient Name</t>
  </si>
  <si>
    <t>Recipient Contactable?</t>
  </si>
  <si>
    <t>Business Opportunity?</t>
  </si>
  <si>
    <t>Top Customer?</t>
  </si>
  <si>
    <t>Relationship Stage</t>
  </si>
  <si>
    <t>Last Order</t>
  </si>
  <si>
    <t>2026-W35</t>
  </si>
  <si>
    <t>FI-WEEK-2026-W35</t>
  </si>
  <si>
    <t>In Progress</t>
  </si>
  <si>
    <t>HQ-WEEK-2026-W35</t>
  </si>
  <si>
    <t>HQ-MONTH-2026-M08</t>
  </si>
  <si>
    <t>2026-M08</t>
  </si>
  <si>
    <t>GF-WEEK-2026-W35</t>
  </si>
  <si>
    <t>LC-WEEK-2026-W35</t>
  </si>
  <si>
    <t>ED-CLOSE-04</t>
  </si>
  <si>
    <t>Platform</t>
  </si>
  <si>
    <t>Waste / spoilage recorded</t>
  </si>
  <si>
    <t>Rating</t>
  </si>
  <si>
    <t>Review / Issue</t>
  </si>
  <si>
    <t>Theme</t>
  </si>
  <si>
    <t>Response Status</t>
  </si>
  <si>
    <t>Recovery</t>
  </si>
  <si>
    <t>ED-CLOSE-05</t>
  </si>
  <si>
    <t>Refund / complaint issues recorded</t>
  </si>
  <si>
    <t>ED-CLOSE-06</t>
  </si>
  <si>
    <t>Cash / POS close completed if applicable</t>
  </si>
  <si>
    <t>ED-CLOSE-07</t>
  </si>
  <si>
    <t>Store secured / close complete</t>
  </si>
  <si>
    <t>ED-WEEK-01</t>
  </si>
  <si>
    <t>Week number and comparable LY week verified</t>
  </si>
  <si>
    <t>ED-WEEK-02</t>
  </si>
  <si>
    <t>Sales / orders / avg ticket actuals entered</t>
  </si>
  <si>
    <t>ED-WEEK-03</t>
  </si>
  <si>
    <t>Labor / COGS / refund metrics entered</t>
  </si>
  <si>
    <t>ED-WEEK-04</t>
  </si>
  <si>
    <t>Targets / variance / YoY reviewed</t>
  </si>
  <si>
    <t>ED-WEEK-05</t>
  </si>
  <si>
    <t>Customers this week reviewed</t>
  </si>
  <si>
    <t>ED-WEEK-06</t>
  </si>
  <si>
    <t>Top customer / recipient opportunities reviewed</t>
  </si>
  <si>
    <t>ED-WEEK-07</t>
  </si>
  <si>
    <t>Reviews / complaints / recoveries reviewed</t>
  </si>
  <si>
    <t>ED-WEEK-08</t>
  </si>
  <si>
    <t>Critical Moves reviewed / reset</t>
  </si>
  <si>
    <t>ED-WEEK-09</t>
  </si>
  <si>
    <t>Exceptions assigned</t>
  </si>
  <si>
    <t>ED-WEEK-10</t>
  </si>
  <si>
    <t>Next week targets and moves confirmed</t>
  </si>
  <si>
    <t>FI-WEEK-01</t>
  </si>
  <si>
    <t>Books current through required date</t>
  </si>
  <si>
    <t>FI-WEEK-02</t>
  </si>
  <si>
    <t>Bank / card reconciliation status reviewed</t>
  </si>
  <si>
    <t>FI-WEEK-03</t>
  </si>
  <si>
    <t>AP / AR reviewed</t>
  </si>
  <si>
    <t>FI-WEEK-04</t>
  </si>
  <si>
    <t>Cash position updated</t>
  </si>
  <si>
    <t>FI-WEEK-05</t>
  </si>
  <si>
    <t>Open creditor / legacy issues reviewed</t>
  </si>
  <si>
    <t>FI-WEEK-06</t>
  </si>
  <si>
    <t>Required finance evidence linked</t>
  </si>
  <si>
    <t>FI-WEEK-07</t>
  </si>
  <si>
    <t>Exceptions / next actions assigned</t>
  </si>
  <si>
    <t>HQ-WEEK-01</t>
  </si>
  <si>
    <t>Critical Moves results reviewed</t>
  </si>
  <si>
    <t>HQ-WEEK-02</t>
  </si>
  <si>
    <t>All required weekly checklists reviewed</t>
  </si>
  <si>
    <t>HQ-WEEK-03</t>
  </si>
  <si>
    <t>Required operating-system closes / management results reviewed</t>
  </si>
  <si>
    <t>HQ-WEEK-04</t>
  </si>
  <si>
    <t>Budget / forecast variance reviewed</t>
  </si>
  <si>
    <t>HQ-WEEK-05</t>
  </si>
  <si>
    <t>Exceptions reviewed and owned</t>
  </si>
  <si>
    <t>HQ-WEEK-06</t>
  </si>
  <si>
    <t>Waiting / blocked items reviewed</t>
  </si>
  <si>
    <t>HQ-WEEK-07</t>
  </si>
  <si>
    <t>Decisions captured</t>
  </si>
  <si>
    <t>HQ-WEEK-08</t>
  </si>
  <si>
    <t>Evidence gaps identified</t>
  </si>
  <si>
    <t>HQ-WEEK-09</t>
  </si>
  <si>
    <t>Next week plan created</t>
  </si>
  <si>
    <t>HQ-WEEK-10</t>
  </si>
  <si>
    <t>Owners / due dates confirmed</t>
  </si>
  <si>
    <t>HQ-MONTH-01</t>
  </si>
  <si>
    <t>Financial month close complete</t>
  </si>
  <si>
    <t>HQ-MONTH-02</t>
  </si>
  <si>
    <t>Finance month close confirmed from authoritative finance operating system</t>
  </si>
  <si>
    <t>HQ-MONTH-03</t>
  </si>
  <si>
    <t>Monthly YoY reviewed</t>
  </si>
  <si>
    <t>HQ-MONTH-04</t>
  </si>
  <si>
    <t>YTD vs LY and YTD target reviewed</t>
  </si>
  <si>
    <t>HQ-MONTH-05</t>
  </si>
  <si>
    <t>Budget vs actual reviewed</t>
  </si>
  <si>
    <t>HQ-MONTH-06</t>
  </si>
  <si>
    <t>Forecast updated</t>
  </si>
  <si>
    <t>HQ-MONTH-07</t>
  </si>
  <si>
    <t>Customer / reputation review complete</t>
  </si>
  <si>
    <t>HQ-MONTH-08</t>
  </si>
  <si>
    <t>People / capacity review complete</t>
  </si>
  <si>
    <t>HQ-MONTH-09</t>
  </si>
  <si>
    <t>Recurring exceptions reviewed</t>
  </si>
  <si>
    <t>HQ-MONTH-10</t>
  </si>
  <si>
    <t>Major decisions captured</t>
  </si>
  <si>
    <t>HQ-MONTH-11</t>
  </si>
  <si>
    <t>Next month priorities / targets set</t>
  </si>
  <si>
    <t>HQ-MONTH-12</t>
  </si>
  <si>
    <t>Month evidence / history retained</t>
  </si>
  <si>
    <t>GF-WEEK-01</t>
  </si>
  <si>
    <t>Product / quality status reviewed</t>
  </si>
  <si>
    <t>GF-WEEK-02</t>
  </si>
  <si>
    <t>Costing / margin current</t>
  </si>
  <si>
    <t>GF-WEEK-03</t>
  </si>
  <si>
    <t>Decision ID</t>
  </si>
  <si>
    <t>Prospects / contacts / tastings entered</t>
  </si>
  <si>
    <t>Decision</t>
  </si>
  <si>
    <t>Why</t>
  </si>
  <si>
    <t>GF-WEEK-04</t>
  </si>
  <si>
    <t>Result / Follow-up</t>
  </si>
  <si>
    <t>Standing accounts updated</t>
  </si>
  <si>
    <t>Evidence</t>
  </si>
  <si>
    <t>GF-WEEK-05</t>
  </si>
  <si>
    <t>Revenue / target / forecast reviewed</t>
  </si>
  <si>
    <t>GF-WEEK-06</t>
  </si>
  <si>
    <t>Budget / money required reviewed</t>
  </si>
  <si>
    <t>GF-WEEK-07</t>
  </si>
  <si>
    <t>Next moves assigned</t>
  </si>
  <si>
    <t>Exception ID</t>
  </si>
  <si>
    <t>Source Type</t>
  </si>
  <si>
    <t>Source ID</t>
  </si>
  <si>
    <t>Exception</t>
  </si>
  <si>
    <t>Financial Exposure</t>
  </si>
  <si>
    <t>Age Days</t>
  </si>
  <si>
    <t>Recurring?</t>
  </si>
  <si>
    <t>Closed Date</t>
  </si>
  <si>
    <t>Timestamp</t>
  </si>
  <si>
    <t>Note</t>
  </si>
  <si>
    <t>Author</t>
  </si>
  <si>
    <t>Gardenia's fire</t>
  </si>
  <si>
    <t>IDEA</t>
  </si>
  <si>
    <t>CAPTURE</t>
  </si>
  <si>
    <t>Mini Fruit cups</t>
  </si>
  <si>
    <t>LC-WEEK-01</t>
  </si>
  <si>
    <t>Open obligations reviewed</t>
  </si>
  <si>
    <t>LC-WEEK-02</t>
  </si>
  <si>
    <t>Exposure values updated where known</t>
  </si>
  <si>
    <t>LC-WEEK-03</t>
  </si>
  <si>
    <t>Sellable offer / customer-facing quality constraint reviewed</t>
  </si>
  <si>
    <t>LC-WEEK-04</t>
  </si>
  <si>
    <t>Decision-useful price / cost / margin or constraint current</t>
  </si>
  <si>
    <t>LC-WEEK-05</t>
  </si>
  <si>
    <t>Closure evidence preserved</t>
  </si>
  <si>
    <t>Checklist Item</t>
  </si>
  <si>
    <t>LC-WEEK-06</t>
  </si>
  <si>
    <t>FI-WEEK-2026-W35|FI-WEEK-01</t>
  </si>
  <si>
    <t>Closed items marked closed</t>
  </si>
  <si>
    <t>{"status":"PASS","note":"","evidence":"","updated":"2026-08-31T03:17:21.771Z","user":"ahmad@wolfventuresnj.com"}</t>
  </si>
  <si>
    <t>{"status":"PASS","note":"","evidence":"","updated":"2026-08-31T03:17:22.758Z","user":"ahmad@wolfventuresnj.com"}</t>
  </si>
  <si>
    <t>FI-WEEK-2026-W35|FI-WEEK-02</t>
  </si>
  <si>
    <t>{"status":"PASS","note":"","evidence":"","updated":"2026-08-31T03:17:22.928Z","user":"ahmad@wolfventuresnj.com"}</t>
  </si>
  <si>
    <t>My Work</t>
  </si>
  <si>
    <t>Alert ID</t>
  </si>
  <si>
    <t>Created</t>
  </si>
  <si>
    <t>Message</t>
  </si>
  <si>
    <t>Resolved At</t>
  </si>
  <si>
    <t>AL-de5dcc2c</t>
  </si>
  <si>
    <t>Incomplete Control</t>
  </si>
  <si>
    <t>Edible Weekly Management Review is 0% complete</t>
  </si>
  <si>
    <t>Medium</t>
  </si>
  <si>
    <t>Open</t>
  </si>
  <si>
    <t>Checklist Run</t>
  </si>
  <si>
    <t>AL-e65b0945</t>
  </si>
  <si>
    <t>Finance Week Close is 0% complete</t>
  </si>
  <si>
    <t>AL-aaadb52d</t>
  </si>
  <si>
    <t>HQ Week Close is 0% complete</t>
  </si>
  <si>
    <t>AL-6f1253c8</t>
  </si>
  <si>
    <t>HQ Month Close is 0% complete</t>
  </si>
  <si>
    <t>AL-ced04ef5</t>
  </si>
  <si>
    <t>Gardenia Weekly Review is 0% complete</t>
  </si>
  <si>
    <t>AL-b0fe3756</t>
  </si>
  <si>
    <t>Legacy Closeout Weekly Review is 0% complete</t>
  </si>
  <si>
    <t>AL-6f36b4ca</t>
  </si>
  <si>
    <t>Edible Operations</t>
  </si>
  <si>
    <t>Work Exception</t>
  </si>
  <si>
    <t>Execute labor schedule correction and verify effect needs attention</t>
  </si>
  <si>
    <t>High</t>
  </si>
  <si>
    <t>Work</t>
  </si>
  <si>
    <t>W-004</t>
  </si>
  <si>
    <t>AL-7f7f4074</t>
  </si>
  <si>
    <t>Confirm books/reconciliations/evidence current for weekly close needs attention</t>
  </si>
  <si>
    <t>W-005</t>
  </si>
  <si>
    <t>AL-92c3ae02</t>
  </si>
  <si>
    <t>Review open creditors / obligations with Emmanuel needs attention</t>
  </si>
  <si>
    <t>W-006</t>
  </si>
  <si>
    <t>AL-e7327654</t>
  </si>
  <si>
    <t>Ahmad Personal Finance / Life</t>
  </si>
  <si>
    <t>Establish lightweight personal bills / obligations source map and weekly control needs attention</t>
  </si>
  <si>
    <t>W-008</t>
  </si>
  <si>
    <t>User</t>
  </si>
  <si>
    <t>Action Type</t>
  </si>
  <si>
    <t>Old Value</t>
  </si>
  <si>
    <t>New Value</t>
  </si>
  <si>
    <t>Detail</t>
  </si>
  <si>
    <t>NOTE ADDED</t>
  </si>
  <si>
    <t>CHECKLIST ITEM UPDATE</t>
  </si>
  <si>
    <t>PASS</t>
  </si>
  <si>
    <t>WORK CREATED</t>
  </si>
  <si>
    <t>W-011</t>
  </si>
  <si>
    <t>W-012</t>
  </si>
  <si>
    <t>W-013</t>
  </si>
  <si>
    <t>W-014</t>
  </si>
  <si>
    <t>xfgnxfm</t>
  </si>
  <si>
    <t>W-016</t>
  </si>
  <si>
    <t>W-015</t>
  </si>
  <si>
    <t>W-017</t>
  </si>
  <si>
    <t>Old Company / Entity</t>
  </si>
  <si>
    <t>Creditor / Issue</t>
  </si>
  <si>
    <t>Amount / Exposure</t>
  </si>
  <si>
    <t>Evidence / Drive Link</t>
  </si>
  <si>
    <t>Property</t>
  </si>
  <si>
    <t>Category</t>
  </si>
  <si>
    <t>Due / Renewal</t>
  </si>
  <si>
    <t>System / Source</t>
  </si>
  <si>
    <t>Authoritative?</t>
  </si>
  <si>
    <t>Drive / Source Link</t>
  </si>
  <si>
    <t>Issue / Next Action</t>
  </si>
  <si>
    <t>HQ Core</t>
  </si>
  <si>
    <t>AHMAD HQ — PHASE 1 OPERATING CORE — Sep 2026</t>
  </si>
  <si>
    <t>BUILT / STATIC-QA / PARTIALLY POPULATED</t>
  </si>
  <si>
    <t>Yes for management state; No for underlying transaction truth</t>
  </si>
  <si>
    <t>Emmanuel / Ahmad</t>
  </si>
  <si>
    <t>Harden defects, complete source/readiness wiring, and prove one real multi-user weekly cycle.</t>
  </si>
  <si>
    <t>HQ Web App</t>
  </si>
  <si>
    <t>Apps Script two-file deploy build release 1.4.9</t>
  </si>
  <si>
    <t>BUILT / DEFECTS / DEPLOYMENT VERSION TO VERIFY</t>
  </si>
  <si>
    <t>N/A</t>
  </si>
  <si>
    <t>Technical owner / developer</t>
  </si>
  <si>
    <t>Drive code artifact 1iulushugXJAhrbP7z4WpMqyFCKo5zFTt</t>
  </si>
  <si>
    <t>Confirm exact deployed release; fix duplicate writes, #REF!, known UI defects; add locking/idempotency/error logging; regression test and rollback.</t>
  </si>
  <si>
    <t>Source Governance</t>
  </si>
  <si>
    <t>HQ_SOURCE_MAP</t>
  </si>
  <si>
    <t>POPULATING — FIRST VERIFIED PASS COMPLETE</t>
  </si>
  <si>
    <t>Yes as wiring registry</t>
  </si>
  <si>
    <t>Emmanuel + source owners</t>
  </si>
  <si>
    <t>AHMAD HQ Phase 1 Core — HQ_SOURCE_MAP</t>
  </si>
  <si>
    <t>Verify remaining transactional links, owners, calculations and automation paths before calling production-ready.</t>
  </si>
  <si>
    <t>BUILT / STRUCTURE VERIFIED / LIVE USE EARLY</t>
  </si>
  <si>
    <t>Yes for finance-control status; underlying QuickBooks/banks remain transaction truth</t>
  </si>
  <si>
    <t>Moises → Emmanuel</t>
  </si>
  <si>
    <t>Weekly Review and Phase 1 Verification are mostly NOT STARTED; complete first evidenced close and reconcile source links.</t>
  </si>
  <si>
    <t>BUILT / STRUCTURE VERIFIED / ADOPTION EARLY</t>
  </si>
  <si>
    <t>Yes for operational control; POS/franchise/payroll/accounting are underlying source truth</t>
  </si>
  <si>
    <t>Run a complete real Week Close with actual KPIs/evidence; verify no duplicate reporting between Edible and HQ.</t>
  </si>
  <si>
    <t>Gardenia CRM</t>
  </si>
  <si>
    <t>HighLevel</t>
  </si>
  <si>
    <t>PLANNED / NOT WIRED</t>
  </si>
  <si>
    <t>Planned authoritative relationship/pipeline source</t>
  </si>
  <si>
    <t>Not yet verified in HQ</t>
  </si>
  <si>
    <t>Configure relationship model/pipeline only after launch fields are locked; start simplest integration/export path.</t>
  </si>
  <si>
    <t>Gardenia Commerce</t>
  </si>
  <si>
    <t>Shopify</t>
  </si>
  <si>
    <t>PLANNED / NOT READY</t>
  </si>
  <si>
    <t>Planned authoritative order/customer commerce source</t>
  </si>
  <si>
    <t>Do not custom-build commerce in HQ; configure Shopify and feed management roll-ups when orders begin.</t>
  </si>
  <si>
    <t>HighLevel + lightweight operating/job records</t>
  </si>
  <si>
    <t>MODEL VERIFIED / LIVE SYSTEM NOT READY</t>
  </si>
  <si>
    <t>Planned</t>
  </si>
  <si>
    <t>Current model: https://docs.google.com/document/d/1IiSyQbFeaLvEEm2PaktBr5HxhgnDWDN6D9rwvznXZoU/edit</t>
  </si>
  <si>
    <t>Activate pilot source: lane, providers, leads, completed jobs, economics and QA before adding specialized field-service software.</t>
  </si>
  <si>
    <t>Permissions</t>
  </si>
  <si>
    <t>HQ_ACCESS + Apps Script access-control functions</t>
  </si>
  <si>
    <t>BUILT / NOT LIVE-VERIFIED</t>
  </si>
  <si>
    <t>Yes for HQ permission policy</t>
  </si>
  <si>
    <t>Technical owner + Emmanuel</t>
  </si>
  <si>
    <t>AHMAD HQ Phase 1 Core + deployed web app</t>
  </si>
  <si>
    <t>Production blocker until role-by-role view/create/edit/close/admin and sensitive-data tests pass.</t>
  </si>
  <si>
    <t>Reliability</t>
  </si>
  <si>
    <t>Write/concurrency/error-handling layer</t>
  </si>
  <si>
    <t>NOT PRODUCTION-HARDENED</t>
  </si>
  <si>
    <t>Senior Apps Script engineer</t>
  </si>
  <si>
    <t>Apps Script deploy code</t>
  </si>
  <si>
    <t>No LockService found; add locking, idempotency, duplicate-submit protection, centralized error logging and regression tests.</t>
  </si>
  <si>
    <t>Operating Acceptance</t>
  </si>
  <si>
    <t>Real multi-user weekly cycle</t>
  </si>
  <si>
    <t>NOT PROVEN</t>
  </si>
  <si>
    <t>Emmanuel + Moises + operating users</t>
  </si>
  <si>
    <t>HQ + Finance + Edible live systems</t>
  </si>
  <si>
    <t>Run plan → execute → evidence → exception → review → next plan; measure duplicate entry, chasing, close time, self-management and user friction.</t>
  </si>
  <si>
    <t>Drive / Institutional Memory</t>
  </si>
  <si>
    <t>AHMAD — WORKSPACE 2026 + current source documents</t>
  </si>
  <si>
    <t>AVAILABLE / CANONICAL CLEANUP STILL NEEDED</t>
  </si>
  <si>
    <t>Yes for durable documents/evidence when current location is verified</t>
  </si>
  <si>
    <t>Emmanuel + AI</t>
  </si>
  <si>
    <t>Google Drive workspace</t>
  </si>
  <si>
    <t>Continue CURRENT / REFERENCE / SUPERSEDED / DUPLICATE / UNCLEAR reconciliation without deleting history.</t>
  </si>
  <si>
    <t>Test / Production Separation</t>
  </si>
  <si>
    <t>HQ checklist/test activity versus authoritative operating controls</t>
  </si>
  <si>
    <t>NOT ADEQUATELY SEPARATED</t>
  </si>
  <si>
    <t>No — test activity must never be treated as operating truth</t>
  </si>
  <si>
    <t>HQ_CHECKLIST_RUNS/HQ_NOTES + underlying operating systems</t>
  </si>
  <si>
    <t>Finance HQ run shows 2/7 from UI/test clicks while Finance Weekly Review remains NOT STARTED. Add staging/test-data discipline or explicit Test/Live flag, evidence/source validation, and clean/reset procedure before production.</t>
  </si>
  <si>
    <t>Final HQ Acceptance Gate</t>
  </si>
  <si>
    <t>Patty + Ahmad code / live acceptance review</t>
  </si>
  <si>
    <t>NOT READY — HARDENING GATES OPEN</t>
  </si>
  <si>
    <t>Patty / Ahmad + technical owner + AI QA</t>
  </si>
  <si>
    <t>AI Working Ledger — HQ GAP &amp; INTEGRITY</t>
  </si>
  <si>
    <t>Pass/fail gates: exact release identity; unique-ID/write integrity; test/live separation; permissions; critical UI defects; error logging/rollback/concurrency; one complete live management cycle; demonstrated reduction in duplicate reporting/chasing; then staged cutover.</t>
  </si>
  <si>
    <t>Gardenia Operating Boundary</t>
  </si>
  <si>
    <t>Real-life product process → HQ management roll-up</t>
  </si>
  <si>
    <t>BOUNDARY CORRECTED — NO HQ PRODUCT-DEVELOPMENT WORKSTREAM</t>
  </si>
  <si>
    <t>Real-life operating process authoritative for product development/testing; HQ authoritative only for management state</t>
  </si>
  <si>
    <t>Emmanuel → Emmanuel/HQ</t>
  </si>
  <si>
    <t>Gardenia operating process + HQ Gardenia/Work Desk</t>
  </si>
  <si>
    <t>Do not require separate SKU/product-development tracker or product-development acceptance gate. Capture sellable readiness, decision-useful price/cost/margin, capacity/constraints, market activity, orders/repeat, exceptions and owner decisions.</t>
  </si>
  <si>
    <t>Duplicate Operating Controls</t>
  </si>
  <si>
    <t>Edible v3 + Office Finance controls versus HQ checklist engine</t>
  </si>
  <si>
    <t>CONFIGURATION CORRECTED — PARALLEL CHECKLIST GENERATION DISABLED</t>
  </si>
  <si>
    <t>Edible v3 remains operating truth for daily/store Week Close; Office Finance Weekly Review remains operating truth for finance close. HQ remains management roll-up/review layer.</t>
  </si>
  <si>
    <t>Store/finance staff should not perform same control twice.</t>
  </si>
  <si>
    <t>Edible daily ED-* and ED-WEEK plus FI-WEEK checklist definitions set Active? = No. Existing historical/test runs are preserved for QA/history; do not treat them as live operating truth.</t>
  </si>
  <si>
    <t>Next technical acceptance: prove HQ can consume/reflect result + exception state without manual re-keying.</t>
  </si>
  <si>
    <t>People operating boundary</t>
  </si>
  <si>
    <t>Authoritative schedule/HR/payroll sources → HQ management capacity roll-up</t>
  </si>
  <si>
    <t>BOUNDARY CORRECTED — HQ NOT HR/SCHEDULING SYSTEM</t>
  </si>
  <si>
    <t>Source systems own detailed schedule/HR truth; HQ owns only decision-useful management state</t>
  </si>
  <si>
    <t>Emmanuel / functional owner</t>
  </si>
  <si>
    <t>PEOPLE &amp; CAPACITY + HQ_ACCESS</t>
  </si>
  <si>
    <t>Keep role ownership, capacity/conflict, coverage/backup and material availability changes. Do not build duplicate detailed roster, timesheet, payroll or scheduling maintenance in HQ.</t>
  </si>
  <si>
    <t>Finance register boundary</t>
  </si>
  <si>
    <t>HQ_FINANCE_REGISTER</t>
  </si>
  <si>
    <t>REFERENCE / EXPOSURE INDEX — NOT CURRENT BALANCE LEDGER</t>
  </si>
  <si>
    <t>No; current balances and transaction truth remain banks/cards/lenders/QuickBooks and source evidence</t>
  </si>
  <si>
    <t>Moises → Emmanuel/HQ</t>
  </si>
  <si>
    <t>HQ_FINANCE_REGISTER + authoritative finance sources</t>
  </si>
  <si>
    <t>Preserve stale/historical exposure rows as reference. Do not maintain parallel current balances in HQ. HQ should show material obligation/exposure, current-through/source status, exception, owner, deadline and decision need only.</t>
  </si>
  <si>
    <t>System Access / Training boundary</t>
  </si>
  <si>
    <t>HQ_SYSTEM_ACCESS + HQ_TRAINING</t>
  </si>
  <si>
    <t>SCHEMA ONLY / POPULATE BY EXCEPTION</t>
  </si>
  <si>
    <t>No for credentials/full training records; yes only for management control state</t>
  </si>
  <si>
    <t>Emmanuel / system owner</t>
  </si>
  <si>
    <t>Actual systems, Drive guides, provider/admin records</t>
  </si>
  <si>
    <t>Do not turn HQ into password vault, LMS, or duplicate access directory. Track only consequential access ownership, missing/disabled access, required capability gap, training exception, backup coverage or control issue.</t>
  </si>
  <si>
    <t>Start Date</t>
  </si>
  <si>
    <t>End Date</t>
  </si>
  <si>
    <t>Result Review Complete?</t>
  </si>
  <si>
    <t>Decision Review Complete?</t>
  </si>
  <si>
    <t>Next Period Plan Complete?</t>
  </si>
  <si>
    <t>Closed At</t>
  </si>
  <si>
    <t>Closed By</t>
  </si>
  <si>
    <t>SEPTEMBER 2026 — MONTH PLAN</t>
  </si>
  <si>
    <t>THIS MONTH MUST PRODUCE</t>
  </si>
  <si>
    <t>1. Launch Gardenia's offer and create real local sales activity.
2. Bring Edible labor and sales performance under tighter weekly control.
3. Get Finance / Office weekly close reliable and evidenced.
4. Operate the HQ system through real work, not separate reporting.
5. Protect Ahmad's time for income-producing and high-value work.</t>
  </si>
  <si>
    <t>THIS WEEK — EXECUTION BOARD</t>
  </si>
  <si>
    <t>Week of Aug 31–Sep 4 • Finish meaningful outcomes, not administrative theater</t>
  </si>
  <si>
    <t>RESULTS &amp; EXCEPTIONS</t>
  </si>
  <si>
    <t>MONTHLY ACTION PLAN — PURPOSE → RESULT → WEEKLY MOVES</t>
  </si>
  <si>
    <t>MONTHLY OUTCOME</t>
  </si>
  <si>
    <t>HOW WE'LL KNOW</t>
  </si>
  <si>
    <t>WEEK 1 MOVE</t>
  </si>
  <si>
    <t>WEEK 2</t>
  </si>
  <si>
    <t>WEEK 3</t>
  </si>
  <si>
    <t>WEEK 4</t>
  </si>
  <si>
    <t>MONTH-END RESULT / LEARNING</t>
  </si>
  <si>
    <t>MAINTAIN</t>
  </si>
  <si>
    <t>Stabilize store performance while improving labor productivity and sales discipline.</t>
  </si>
  <si>
    <t>Sales trend; labor %; customer/service exceptions; Week Close reliability.</t>
  </si>
  <si>
    <t>Labor correction + marketing execution</t>
  </si>
  <si>
    <t>PUSH</t>
  </si>
  <si>
    <t>Move from preparation into actual local sales activity and first standing accounts.</t>
  </si>
  <si>
    <t>Prospects; calls; tastings; standing accounts; weekly revenue.</t>
  </si>
  <si>
    <t>Product/cost + target list + outreach</t>
  </si>
  <si>
    <t>Create reliable weekly financial visibility with evidence and no silent material issues.</t>
  </si>
  <si>
    <t>Books current; reconciliations; A/P/A/R reviewed; evidence complete; exceptions assigned.</t>
  </si>
  <si>
    <t>Complete first clean weekly close</t>
  </si>
  <si>
    <t>Keep production moving from script/recording through review/edit/retain.</t>
  </si>
  <si>
    <t>Recordings reviewed; edits moved; useful material retained.</t>
  </si>
  <si>
    <t>Move current video/editor to next executable step</t>
  </si>
  <si>
    <t>WEEKLY OUTCOMES / CRITICAL MOVES</t>
  </si>
  <si>
    <t>People / Systems</t>
  </si>
  <si>
    <t>Make roles, schedules, priorities and follow-through visible without duplicate reporting.</t>
  </si>
  <si>
    <t>Owners clear; Viane placement resolved; weekly rhythm actually used.</t>
  </si>
  <si>
    <t>Run system from real work; confirm capacity</t>
  </si>
  <si>
    <t>Targets → actuals → exceptions → next action. Management sees movement, not reporting theater.</t>
  </si>
  <si>
    <t>PROJECT / FUNCTION</t>
  </si>
  <si>
    <t>NEXT ACTION</t>
  </si>
  <si>
    <t>Gain compressed visibility of personal obligations, recurring charges and decisions without another bureaucracy.</t>
  </si>
  <si>
    <t>Bills/obligations visible; recurring charges reviewed; exceptions escalated.</t>
  </si>
  <si>
    <t>Moises / Emmanuel / Ahmad</t>
  </si>
  <si>
    <t>Establish source map + weekly review</t>
  </si>
  <si>
    <t>WAITING ON</t>
  </si>
  <si>
    <t>ESCALATE?</t>
  </si>
  <si>
    <t>MONTH CLOSE — DID THE MONTH ACTUALLY MOVE THE BUSINESS?</t>
  </si>
  <si>
    <t>DONE?</t>
  </si>
  <si>
    <t>RECURRING CONTROLS / WEEK CLOSE</t>
  </si>
  <si>
    <t/>
  </si>
  <si>
    <t>FUNCTION</t>
  </si>
  <si>
    <t>CONTROL</t>
  </si>
  <si>
    <t>EXCEPTION?</t>
  </si>
  <si>
    <t>WEEK MAP — PUT THE WORK INTO THE WEEK, NOT JUST ON A LIST</t>
  </si>
  <si>
    <t>MON • AUG 31</t>
  </si>
  <si>
    <t>TUE • SEP 1</t>
  </si>
  <si>
    <t>WED • SEP 2</t>
  </si>
  <si>
    <t>THU • SEP 3</t>
  </si>
  <si>
    <t>FRI • SEP 4</t>
  </si>
  <si>
    <t>KPI SCOREBOARD</t>
  </si>
  <si>
    <t>EDIBLE HACKENSACK — OPERATE</t>
  </si>
  <si>
    <t>CURRENT MANAGEMENT EXCEPTION
Sales below target and labor materially above target.
Current question: did the schedule/labor correction actually change the result?</t>
  </si>
  <si>
    <t>STORE PEOPLE &amp; COVERAGE — MANAGEMENT VIEW</t>
  </si>
  <si>
    <t>PERSON</t>
  </si>
  <si>
    <t>ROLE</t>
  </si>
  <si>
    <t>COVERAGE / RESPONSIBILITY</t>
  </si>
  <si>
    <t>EXCEPTION / NEED</t>
  </si>
  <si>
    <t>Cathy</t>
  </si>
  <si>
    <t>—</t>
  </si>
  <si>
    <t>Working</t>
  </si>
  <si>
    <t>Store lead coverage; ~30–32 hrs/week current known pattern</t>
  </si>
  <si>
    <t>Verify current week schedule</t>
  </si>
  <si>
    <t>Lorena</t>
  </si>
  <si>
    <t>Production</t>
  </si>
  <si>
    <t>TBD</t>
  </si>
  <si>
    <t>Production continuity / quality</t>
  </si>
  <si>
    <t>Confirm current schedule</t>
  </si>
  <si>
    <t>STORE WEEK CLOSE — ROLL-UP, NOT A SECOND CHECKLIST</t>
  </si>
  <si>
    <t>CONTROL AREA</t>
  </si>
  <si>
    <t>WHAT MANAGEMENT NEEDS TO KNOW</t>
  </si>
  <si>
    <t>EXCEPTION / NEXT ACTION</t>
  </si>
  <si>
    <t>Staffing / schedule</t>
  </si>
  <si>
    <t>Coverage adequate? labor aligned to sales?</t>
  </si>
  <si>
    <t>Review</t>
  </si>
  <si>
    <t>Production / delivery</t>
  </si>
  <si>
    <t>Quality, workload, delivery issues?</t>
  </si>
  <si>
    <t>Inventory / waste / purchasing</t>
  </si>
  <si>
    <t>Shortage, bad fruit, waste, ordering exceptions?</t>
  </si>
  <si>
    <t>Customer / service</t>
  </si>
  <si>
    <t>Complaints, refunds, recovery, repeat issue?</t>
  </si>
  <si>
    <t>Sales / marketing</t>
  </si>
  <si>
    <t>Lead behaviors performed? did they move sales?</t>
  </si>
  <si>
    <t>Cash / bookkeeping</t>
  </si>
  <si>
    <t>Deposit or bookkeeping exception requiring attention?</t>
  </si>
  <si>
    <t>CURRENT MOVES — JUDGE THEM AGAINST THE NUMBERS</t>
  </si>
  <si>
    <t>CLOSE QUESTION</t>
  </si>
  <si>
    <t>RESULT / EXCEPTION / LEARNING</t>
  </si>
  <si>
    <t>Were the month's most important outcomes materially advanced or closed?</t>
  </si>
  <si>
    <t>Did Edible's sales/labor/customer picture improve, deteriorate or stay flat — and why?</t>
  </si>
  <si>
    <t>GARDENIA'S FIRE — OPERATE</t>
  </si>
  <si>
    <t>Did Gardenia's produce real market activity and conversion learning?</t>
  </si>
  <si>
    <t>Is Finance / Office more current, evidenced and exception-driven than at month start?</t>
  </si>
  <si>
    <t>Moises / Emmanuel</t>
  </si>
  <si>
    <t>Did this operating system reduce memory dependence and duplicate reporting?</t>
  </si>
  <si>
    <t>What should be PUSH / MAINTAIN / PARK next month?</t>
  </si>
  <si>
    <t>THIS MONTH'S TEST
Can Emmanuel's real-life product process produce an offer that local companies will taste, buy and repeat?
HQ judges market activity, conversion, economics and exceptions — not product-development preparation.</t>
  </si>
  <si>
    <t>CURRENT CRITICAL MOVES</t>
  </si>
  <si>
    <t>METRIC</t>
  </si>
  <si>
    <t>TARGET</t>
  </si>
  <si>
    <t>ACTUAL</t>
  </si>
  <si>
    <t>TREND</t>
  </si>
  <si>
    <t>MEANING / EXCEPTION</t>
  </si>
  <si>
    <t>WORK EXCEPTIONS / MANAGEMENT ESCALATIONS</t>
  </si>
  <si>
    <t>CONTROL EXCEPTIONS</t>
  </si>
  <si>
    <t>NOTES / NEXT ACTION</t>
  </si>
  <si>
    <t>CALLS &amp; FOLLOW-UP — WORK DESK</t>
  </si>
  <si>
    <t>Use for Gardenia's prospects, creditors/vendor calls, office follow-ups, customer recovery or any meaningful follow-up. Filter by owner, stage or date.</t>
  </si>
  <si>
    <t>COMPANY / PERSON</t>
  </si>
  <si>
    <t>CONTACT</t>
  </si>
  <si>
    <t>WHY / PURPOSE</t>
  </si>
  <si>
    <t>STAGE</t>
  </si>
  <si>
    <t>LAST CONTACT</t>
  </si>
  <si>
    <t>NEXT FOLLOW-UP</t>
  </si>
  <si>
    <t>RESULT / WHAT HAPPENED</t>
  </si>
  <si>
    <t>NEXT MOVE</t>
  </si>
  <si>
    <t>DAYS SINCE TOUCH</t>
  </si>
  <si>
    <t>SOURCE / NOTES</t>
  </si>
  <si>
    <t>LAST UPDATED</t>
  </si>
  <si>
    <t>Sample — replace</t>
  </si>
  <si>
    <t>Introduce offer / schedule tasting</t>
  </si>
  <si>
    <t>Make first contact</t>
  </si>
  <si>
    <t>PEOPLE, SCHEDULE &amp; CAPACITY</t>
  </si>
  <si>
    <t>WEEKLY CAPACITY BOARD — CURRENT KNOWN SCHEDULE / CONFIRMATIONS</t>
  </si>
  <si>
    <t>THIS WEEK'S PRIORITY</t>
  </si>
  <si>
    <t>CAPACITY / CONFLICT</t>
  </si>
  <si>
    <t>Decisions / high-value work</t>
  </si>
  <si>
    <t>Decisions</t>
  </si>
  <si>
    <t>Protect</t>
  </si>
  <si>
    <t>Income-producing/high-value + decisions</t>
  </si>
  <si>
    <t>Do not fill with system-maintenance work</t>
  </si>
  <si>
    <t>Active</t>
  </si>
  <si>
    <t>Confirm</t>
  </si>
  <si>
    <t>Gardenia's + Edible + integration</t>
  </si>
  <si>
    <t>Multiple interim roles; avoid bookkeeping burden</t>
  </si>
  <si>
    <t>11–5</t>
  </si>
  <si>
    <t>11–4</t>
  </si>
  <si>
    <t>As needed</t>
  </si>
  <si>
    <t>Books / reconciliations / creditors / evidence</t>
  </si>
  <si>
    <t>Use finance mechanism; escalate exceptions</t>
  </si>
  <si>
    <t>Viane</t>
  </si>
  <si>
    <t>Role / placement to confirm</t>
  </si>
  <si>
    <t>Confirm role + one contained responsibility</t>
  </si>
  <si>
    <t>Do not broaden until ownership/result clear</t>
  </si>
  <si>
    <t>Edible Store Lead</t>
  </si>
  <si>
    <t>Store coverage + labor/service control</t>
  </si>
  <si>
    <t>Verify weekly schedule vs sales/labor demand</t>
  </si>
  <si>
    <t>Edible Production</t>
  </si>
  <si>
    <t>WHO IS CARRYING WHAT — LIVE FROM WORK DESK</t>
  </si>
  <si>
    <t>AHMAD — CONTROL</t>
  </si>
  <si>
    <t>Only what requires ownership, judgment, money, risk or your attention should rise here.</t>
  </si>
  <si>
    <t>1  Sellable offer confirmed by Emmanuel</t>
  </si>
  <si>
    <t>1  Product / costing ready</t>
  </si>
  <si>
    <t>→</t>
  </si>
  <si>
    <t>2  Target company identified</t>
  </si>
  <si>
    <t>3  Contact made</t>
  </si>
  <si>
    <t>4  Tasting / sample</t>
  </si>
  <si>
    <t>5  Follow-up / close</t>
  </si>
  <si>
    <t>6  Standing account</t>
  </si>
  <si>
    <t>7  Weekly revenue</t>
  </si>
  <si>
    <t>DECISIONS / APPROVALS</t>
  </si>
  <si>
    <t>DECISION NEEDED</t>
  </si>
  <si>
    <t>REQUESTED BY</t>
  </si>
  <si>
    <t>NEEDED BY</t>
  </si>
  <si>
    <t>DIRECTION / DECISION</t>
  </si>
  <si>
    <t>EMMANUEL — COORDINATOR / INTEGRATOR</t>
  </si>
  <si>
    <t>MOISES — FINANCE / BACK-END CONTROL</t>
  </si>
  <si>
    <t>Your job: move priorities through people and systems; surface exceptions; do not recreate reports that already exist.</t>
  </si>
  <si>
    <t>Keep the back end current, evidenced and exception-driven. Detailed bookkeeping stays in the finance system; HQ receives the roll-up.</t>
  </si>
  <si>
    <t>FINANCE WEEK CLOSE — CONTROLS</t>
  </si>
  <si>
    <t>CADENCE</t>
  </si>
  <si>
    <t>NEXT DUE</t>
  </si>
  <si>
    <t>MY WEEK — OPEN WORK</t>
  </si>
  <si>
    <t>PRIORITY</t>
  </si>
  <si>
    <t>CRITICAL?</t>
  </si>
  <si>
    <t>MY OTHER OPEN WORK</t>
  </si>
  <si>
    <t>WORK DESK — CAPTURE • PLAN • UPDATE • CLOSE</t>
  </si>
  <si>
    <t>ID</t>
  </si>
  <si>
    <t>Project / Function</t>
  </si>
  <si>
    <t>Work Item / Next Action</t>
  </si>
  <si>
    <t>Income / Result Producing?</t>
  </si>
  <si>
    <t>Due Date</t>
  </si>
  <si>
    <t>Waiting On</t>
  </si>
  <si>
    <t>Blocked?</t>
  </si>
  <si>
    <t>Result / Completion Note</t>
  </si>
  <si>
    <t>Created / Captured</t>
  </si>
  <si>
    <t>Management Escalation?</t>
  </si>
  <si>
    <t>PLANNED DAY</t>
  </si>
  <si>
    <t>MY RECURRING CONTROLS / WEEK CLOSE</t>
  </si>
  <si>
    <t>PERSONAL LIFE / PERSONAL FINANCE — COMPRESSED CONTROL</t>
  </si>
  <si>
    <t>INCOME / HIGH-VALUE WORK — PROTECT THIS</t>
  </si>
  <si>
    <t>WHY / OUTCOME SUPPORTED</t>
  </si>
  <si>
    <t>COMPLETED AT</t>
  </si>
  <si>
    <t>AGE / STALE</t>
  </si>
  <si>
    <t>W-001</t>
  </si>
  <si>
    <t>Confirm sellable offer is ready from Emmanuel's real-life process; capture only price/cost/margin or constraints needed for selling/management</t>
  </si>
  <si>
    <t>Operating Result</t>
  </si>
  <si>
    <t>https://drive.google.com/drive/folders/1-CWhZsNUR2dnbbCLLOInkSOOHtFU_utm</t>
  </si>
  <si>
    <t>2026-08-30</t>
  </si>
  <si>
    <t>Mon Aug 31</t>
  </si>
  <si>
    <t>Sales readiness / management economics without duplicating product development</t>
  </si>
  <si>
    <t>W-002</t>
  </si>
  <si>
    <t>Build/confirm target account list</t>
  </si>
  <si>
    <t>Project Action</t>
  </si>
  <si>
    <t>https://drive.google.com/drive/folders/1LvDMFZKtN8Os89nodgQhUsqinqHelkRm</t>
  </si>
  <si>
    <t>Tue Sep 1</t>
  </si>
  <si>
    <t>Create qualified sales pipeline</t>
  </si>
  <si>
    <t>W-003</t>
  </si>
  <si>
    <t>Begin outreach and schedule tastings</t>
  </si>
  <si>
    <t>Wed–Fri</t>
  </si>
  <si>
    <t>Create tastings / standing-account conversations</t>
  </si>
  <si>
    <t>Execute labor schedule correction and verify effect</t>
  </si>
  <si>
    <t>AHMAD HQ — PHASE 1 OPERATING CORE</t>
  </si>
  <si>
    <t>Purpose</t>
  </si>
  <si>
    <t>One small operating backbone for work, projects/functions, recurring controls, KPIs, people/capacity, decisions, and evidence.</t>
  </si>
  <si>
    <t>Operating rule</t>
  </si>
  <si>
    <t>Enter once → useful to the employee → useful to Emmanuel → useful to management → retained for history.</t>
  </si>
  <si>
    <t>Monday standard</t>
  </si>
  <si>
    <t>Every person can see This Week / Today / Waiting On / Overdue; management sees Critical Moves, results, exceptions, capacity, decisions, and What's Next.</t>
  </si>
  <si>
    <t>Drive rule</t>
  </si>
  <si>
    <t>Detailed source documents and evidence stay in Drive/specialized systems; this workbook stores the management spine and links down.</t>
  </si>
  <si>
    <t>PHASE 1 — WHAT STAFF USE</t>
  </si>
  <si>
    <t>01_WORK_ITEMS</t>
  </si>
  <si>
    <t>Primary action/task database. Add or update work here until AppSheet front end is live.</t>
  </si>
  <si>
    <t>Improvement</t>
  </si>
  <si>
    <t>https://docs.google.com/spreadsheets/d/1_qBjYd0F4BYYTxLMJjEZbQynBdHH5JGe83-U7nheJOE/edit?usp=drivesdk</t>
  </si>
  <si>
    <t>Wed Sep 2</t>
  </si>
  <si>
    <t>Bring labor productivity toward target</t>
  </si>
  <si>
    <t>Confirm books/reconciliations/evidence current for weekly close</t>
  </si>
  <si>
    <t>Control</t>
  </si>
  <si>
    <t>https://docs.google.com/spreadsheets/d/1zrY3SOQiF2g8A_7z4ynA9mVnM7_qsvS8eBsebBRplmc/edit?usp=drivesdk</t>
  </si>
  <si>
    <t>Fri Sep 4</t>
  </si>
  <si>
    <t>Reliable finance close / no silent issue</t>
  </si>
  <si>
    <t>Review open creditors / obligations with Emmanuel</t>
  </si>
  <si>
    <t>Follow-up</t>
  </si>
  <si>
    <t>Thu Sep 3</t>
  </si>
  <si>
    <t>Visibility of obligations / decisions</t>
  </si>
  <si>
    <t>W-007</t>
  </si>
  <si>
    <t>Move current video/editor follow-up to next executable step</t>
  </si>
  <si>
    <t>HOLD / TEST DATA</t>
  </si>
  <si>
    <t>Move production pipeline forward</t>
  </si>
  <si>
    <t>Establish lightweight personal bills / obligations source map and weekly control</t>
  </si>
  <si>
    <t>Control Build</t>
  </si>
  <si>
    <t>Personal stability / obligations visibility</t>
  </si>
  <si>
    <t>W-009</t>
  </si>
  <si>
    <t>Review subscriptions / recurring charges and surface cancellations or decisions needed</t>
  </si>
  <si>
    <t>TEST</t>
  </si>
  <si>
    <t>Control ID</t>
  </si>
  <si>
    <t>Function</t>
  </si>
  <si>
    <t>Reduce unnecessary recurring outflow</t>
  </si>
  <si>
    <t>W-010</t>
  </si>
  <si>
    <t>Control / Checklist Item</t>
  </si>
  <si>
    <t>Operate Monday launch from HQ role views; confirm owners, dates, blockers and exceptions are current</t>
  </si>
  <si>
    <t>System Rollout</t>
  </si>
  <si>
    <t>Next Due</t>
  </si>
  <si>
    <t>Evidence / Link</t>
  </si>
  <si>
    <t>Notes / Next Action</t>
  </si>
  <si>
    <t>Make the operating system usable through real work</t>
  </si>
  <si>
    <t>C-001</t>
  </si>
  <si>
    <t>Books current / posted through agreed close date</t>
  </si>
  <si>
    <t>Action</t>
  </si>
  <si>
    <t>0d</t>
  </si>
  <si>
    <t>C-002</t>
  </si>
  <si>
    <t>Bank and credit-card reconciliations current</t>
  </si>
  <si>
    <t>C-003</t>
  </si>
  <si>
    <t>Critical A/P and A/R reviewed</t>
  </si>
  <si>
    <t>C-004</t>
  </si>
  <si>
    <t>Evidence / supporting documents confirmed</t>
  </si>
  <si>
    <t>xfmfhm</t>
  </si>
  <si>
    <t>xmh</t>
  </si>
  <si>
    <t>C-005</t>
  </si>
  <si>
    <t>Week Close completed and exceptions identified</t>
  </si>
  <si>
    <t>xfmhxfhm</t>
  </si>
  <si>
    <t>C-006</t>
  </si>
  <si>
    <t>Critical Moves reviewed; overdue/blocked escalated</t>
  </si>
  <si>
    <t>C-007</t>
  </si>
  <si>
    <t>Upcoming personal bills/obligations reviewed</t>
  </si>
  <si>
    <t>C-008</t>
  </si>
  <si>
    <t>Money-in / money-out and material exceptions reviewed</t>
  </si>
  <si>
    <t>C-009</t>
  </si>
  <si>
    <t>Personal-finance exceptions / deadlines reviewed and escalated to Ahmad</t>
  </si>
  <si>
    <t>10_EMMANUEL_VIEW</t>
  </si>
  <si>
    <t>Automatic working view for Emmanuel.</t>
  </si>
  <si>
    <t>11_MOISES_VIEW</t>
  </si>
  <si>
    <t>Automatic working view for Moises.</t>
  </si>
  <si>
    <t>12_AHMAD_VIEW</t>
  </si>
  <si>
    <t>Compressed management/action view for Ahmad.</t>
  </si>
  <si>
    <t>03_RECURRING_CONTROLS</t>
  </si>
  <si>
    <t>Weekly/monthly controls and checklists. Drill down here; roll up by exceptions.</t>
  </si>
  <si>
    <t>07_REFERENCE_LINKS</t>
  </si>
  <si>
    <t>One-click links to project folders, source workbooks, manuals, and evidence.</t>
  </si>
  <si>
    <t>WEEKLY RHYTHM</t>
  </si>
  <si>
    <t>Mon–Thu</t>
  </si>
  <si>
    <t>Execute from My Week / project-function views. Update items once.</t>
  </si>
  <si>
    <t>Friday</t>
  </si>
  <si>
    <t>Week Close: mark completed, capture result/evidence, flag blocked/carry-forward.</t>
  </si>
  <si>
    <t>Saturday</t>
  </si>
  <si>
    <t>Emmanuel reviews exceptions, missing updates, capacity, KPIs, and Ahmad decisions.</t>
  </si>
  <si>
    <t>Sunday</t>
  </si>
  <si>
    <t>Management meeting: review v3 board; create decisions/actions directly into operating core.</t>
  </si>
  <si>
    <t>Monday</t>
  </si>
  <si>
    <t>New priorities/critical moves are already in each person's view.</t>
  </si>
  <si>
    <t>PHASE ROADMAP</t>
  </si>
  <si>
    <t>Phase 1</t>
  </si>
  <si>
    <t>Functional now: Sheets backbone + Drive links + role views + v3 management board + manual/semi-manual updates.</t>
  </si>
  <si>
    <t>Phase 2</t>
  </si>
  <si>
    <t>AppSheet working interface, smart forms, filtered role/project views, automated roll-ups/alerts, standardized project setup.</t>
  </si>
  <si>
    <t>Phase 3</t>
  </si>
  <si>
    <t>Full Ahmad HQ operating system: system inventory/maturity, SOPs/training, broader functions, stronger automation, audit intelligence, controlled expansion.</t>
  </si>
  <si>
    <t>Period End</t>
  </si>
  <si>
    <t>Trend</t>
  </si>
  <si>
    <t>Meaning / Exception</t>
  </si>
  <si>
    <t>Source / Evidence Link</t>
  </si>
  <si>
    <t>2026-08-29</t>
  </si>
  <si>
    <t>Net Sales</t>
  </si>
  <si>
    <t>Down</t>
  </si>
  <si>
    <t>Below target</t>
  </si>
  <si>
    <t>Labor %</t>
  </si>
  <si>
    <t>Up / Bad</t>
  </si>
  <si>
    <t>Materially above target</t>
  </si>
  <si>
    <t>Refund + Void %</t>
  </si>
  <si>
    <t>Elevated</t>
  </si>
  <si>
    <t>Prospects Identified</t>
  </si>
  <si>
    <t>Contacts Made</t>
  </si>
  <si>
    <t>Tastings</t>
  </si>
  <si>
    <t>Standing Accounts</t>
  </si>
  <si>
    <t>Weekly Revenue</t>
  </si>
  <si>
    <t>Coordinate completeness and decisions; do not duplicate bookkeeping</t>
  </si>
  <si>
    <t>Person</t>
  </si>
  <si>
    <t>Primary Functions / Projects</t>
  </si>
  <si>
    <t>This Week's 3–5 Priorities</t>
  </si>
  <si>
    <t>Availability / Capacity Notes</t>
  </si>
  <si>
    <t>Waiting On / Constraints</t>
  </si>
  <si>
    <t>Manager / Coordinator</t>
  </si>
  <si>
    <t>Owner / Final Accountability</t>
  </si>
  <si>
    <t>Priorities; Decisions; Capital; Podcast; Personal</t>
  </si>
  <si>
    <t>Decisions / priorities; income-producing/high-value activity; podcast</t>
  </si>
  <si>
    <t>Protect decision and high-value time</t>
  </si>
  <si>
    <t>Edible; Gardenia's; People/Systems; Podcast support; office follow-through</t>
  </si>
  <si>
    <t>Gardenia's; Edible correction; Finance integration; systems rollout</t>
  </si>
  <si>
    <t>Current capacity to confirm</t>
  </si>
  <si>
    <t>Multiple interim roles / avoid bookkeeping burden</t>
  </si>
  <si>
    <t>Finance &amp; Office; back-end controls; evidence; selected personal-finance support</t>
  </si>
  <si>
    <t>Books/reconciliations; creditors; evidence; Phase 1 back-end support</t>
  </si>
  <si>
    <t>Standing schedule to confirm for this week</t>
  </si>
  <si>
    <t>New Staff — Role to Confirm</t>
  </si>
  <si>
    <t>Execution support — placement pending</t>
  </si>
  <si>
    <t>Confirm role / availability; assign one contained responsibility with clear result</t>
  </si>
  <si>
    <t>Confirm current schedule / capacity</t>
  </si>
  <si>
    <t>Do not broaden until ownership and result are clear</t>
  </si>
  <si>
    <t>Store coverage; labor discipline; service; week-close execution</t>
  </si>
  <si>
    <t>Tue / Thu / Fri / Sat; ~30–32 hrs/wk current known pattern — verify weekly</t>
  </si>
  <si>
    <t>Schedule should align with labor target and store demand</t>
  </si>
  <si>
    <t>Production continuity; quality; readiness</t>
  </si>
  <si>
    <t>Current schedule to confirm</t>
  </si>
  <si>
    <t>Confirm coverage and responsibilities</t>
  </si>
  <si>
    <t>Cathy / Emmanuel</t>
  </si>
  <si>
    <t>Decision / Approval Needed</t>
  </si>
  <si>
    <t>Requested By</t>
  </si>
  <si>
    <t>Date Raised</t>
  </si>
  <si>
    <t>Needed By</t>
  </si>
  <si>
    <t>Decision / Direction</t>
  </si>
  <si>
    <t>Follow-up Owner</t>
  </si>
  <si>
    <t>Resulting Work Item ID</t>
  </si>
  <si>
    <t>D-001</t>
  </si>
  <si>
    <t>Confirm launch offer / pricing after product costing is complete</t>
  </si>
  <si>
    <t>W-001 / W-003</t>
  </si>
  <si>
    <t>D-002</t>
  </si>
  <si>
    <t>Hire external Google Workspace / AppSheet integrator now?</t>
  </si>
  <si>
    <t>Decided</t>
  </si>
  <si>
    <t>Not yet. Continue ChatGPT-led build; revisit only if hands-on AppSheet/configuration burden warrants temporary help.</t>
  </si>
  <si>
    <t>Kind</t>
  </si>
  <si>
    <t>Focus</t>
  </si>
  <si>
    <t>Primary Owner</t>
  </si>
  <si>
    <t>Purpose / Outcome</t>
  </si>
  <si>
    <t>Current Milestone</t>
  </si>
  <si>
    <t>2–4 Key Numbers</t>
  </si>
  <si>
    <t>What's Next</t>
  </si>
  <si>
    <t>Primary Drive Folder / Source</t>
  </si>
  <si>
    <t>Keep store stable while correcting sales/labor/service economics</t>
  </si>
  <si>
    <t>Correct current sales/labor trend</t>
  </si>
  <si>
    <t>Sales; Labor %; Avg Ticket; Refund/Void</t>
  </si>
  <si>
    <t>Verify schedule/lead behavior effect</t>
  </si>
  <si>
    <t>Project</t>
  </si>
  <si>
    <t>Prove offer and create repeatable local corporate standing-order sales</t>
  </si>
  <si>
    <t>Product proof + outreach/tastings</t>
  </si>
  <si>
    <t>Prospects; Contacts; Tastings; Standing Accounts; Weekly Revenue</t>
  </si>
  <si>
    <t>Finalize costing, target list, outreach, tastings</t>
  </si>
  <si>
    <t>Keep books, cash, obligations, evidence, and office controls current</t>
  </si>
  <si>
    <t>Reliable weekly close / exceptions</t>
  </si>
  <si>
    <t>Books Current; Cash; A/P; A/R; Reconciliations; Evidence</t>
  </si>
  <si>
    <t>Establish clean weekly close with evidence</t>
  </si>
  <si>
    <t>Create and publish meaningful podcast/video work while retaining legacy material</t>
  </si>
  <si>
    <t>Current episode/video progression</t>
  </si>
  <si>
    <t>Script; Record; Review; Edit; Publish</t>
  </si>
  <si>
    <t>Move next video/episode to executable step</t>
  </si>
  <si>
    <t>Clear ownership, capacity, follow-through, and system improvement</t>
  </si>
  <si>
    <t>Monday-ready operating rhythm</t>
  </si>
  <si>
    <t>Critical Moves; Overdue; Blocked; Capacity</t>
  </si>
  <si>
    <t>Operate Phase 1 and remove duplicate reporting</t>
  </si>
  <si>
    <t>Iron Marks / Iron March</t>
  </si>
  <si>
    <t>PARK</t>
  </si>
  <si>
    <t>Keep visible without stealing capacity until intentionally activated</t>
  </si>
  <si>
    <t>Define offer/owner/test/capacity before PUSH</t>
  </si>
  <si>
    <t>Remain parked until activation decision</t>
  </si>
  <si>
    <t>Parked</t>
  </si>
  <si>
    <t>Ahmad / Moises / Emmanuel</t>
  </si>
  <si>
    <t>Protect personal stability: money in/out, obligations, credit, personal admin, decisions</t>
  </si>
  <si>
    <t>Basic visibility + recurring control</t>
  </si>
  <si>
    <t>Money In; Money Out; Bills Due; Credit/Open Issues</t>
  </si>
  <si>
    <t>Moises maintains back-end; Emmanuel coordinates completeness/exceptions; Ahmad decides</t>
  </si>
  <si>
    <t>Build</t>
  </si>
  <si>
    <t>Google Drive / Source Link</t>
  </si>
  <si>
    <t>Purpose / When to Use</t>
  </si>
  <si>
    <t>AHMAD HQ</t>
  </si>
  <si>
    <t>Governance</t>
  </si>
  <si>
    <t>AHMAD WORKSPACE — MASTER INDEX &amp; MAP</t>
  </si>
  <si>
    <t>https://docs.google.com/document/d/1tTlyDkRx8QSacj_As6QzL4R0U3CbgP0ZwGaKUzMaTus/edit?usp=drivesdk</t>
  </si>
  <si>
    <t>Workspace doorway / source map</t>
  </si>
  <si>
    <t>START HERE — Ahmad Workspace Protocol &amp; AI Notes</t>
  </si>
  <si>
    <t>https://docs.google.com/document/d/1srmnbnV1hzpm1_uDIzAHMa26jetuXrXojau3SaBOkp0/edit?usp=drivesdk</t>
  </si>
  <si>
    <t>Rules for Drive / ChatGPT / accountability</t>
  </si>
  <si>
    <t>Operating System</t>
  </si>
  <si>
    <t>Detailed store controls</t>
  </si>
  <si>
    <t>Detailed finance control layer</t>
  </si>
  <si>
    <t>Management View</t>
  </si>
  <si>
    <t>Functional Management Board — v3</t>
  </si>
  <si>
    <t>https://docs.google.com/presentation/d/1Va2UIkSWL0s5wOi7MNcl7xbQONg7kE3dKpRRxlfgBCk/edit?usp=drivesdk</t>
  </si>
  <si>
    <t>Sunday management presentation / current design reference</t>
  </si>
  <si>
    <t>Historical Reference</t>
  </si>
  <si>
    <t>AHMAD HQ — HISTORICAL SYSTEMS REFERENCE &amp; PHASE ROADMAP — Aug 2026</t>
  </si>
  <si>
    <t>https://docs.google.com/document/d/1fBgNWXM8nKMy2_cpL96r7LbkiepiOqsBDDq66eMwby8/edit?usp=drivesdk</t>
  </si>
  <si>
    <t>Phase 1/2/3 design memory and historical lessons</t>
  </si>
  <si>
    <t>Project Home</t>
  </si>
  <si>
    <t>Gardenia's Fire — Independent Revenue Channel</t>
  </si>
  <si>
    <t>Current project working folder and evidence</t>
  </si>
  <si>
    <t>Reuse current 2026 structure; do not create another project home</t>
  </si>
  <si>
    <t>Owners</t>
  </si>
  <si>
    <t>YesNo</t>
  </si>
  <si>
    <t>Daily</t>
  </si>
  <si>
    <t>Routine Task</t>
  </si>
  <si>
    <t>Waiting</t>
  </si>
  <si>
    <t>Biweekly</t>
  </si>
  <si>
    <t>Staff / TBD</t>
  </si>
  <si>
    <t>Blocked</t>
  </si>
  <si>
    <t>Done</t>
  </si>
  <si>
    <t>Quarterly</t>
  </si>
  <si>
    <t>Dropped</t>
  </si>
  <si>
    <t>Issue</t>
  </si>
  <si>
    <t>Annual</t>
  </si>
  <si>
    <t>As Needed</t>
  </si>
  <si>
    <t>Reference</t>
  </si>
  <si>
    <t>EMMANUEL — MY WORK</t>
  </si>
  <si>
    <t>Live filtered view from 01_WORK_ITEMS. Update the source row until AppSheet is live.</t>
  </si>
  <si>
    <t>MOISES — MY WORK</t>
  </si>
  <si>
    <t>AHMAD — MANAGEMENT ACTION VIEW</t>
  </si>
  <si>
    <t>Only escalated / decision-sensitive / PUSH critical work. Detailed work remains below.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</si>
</sst>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 mmm d"/>
    <numFmt numFmtId="165" formatCode="yyyy-mm-dd"/>
    <numFmt numFmtId="166" formatCode="m/d/yyyy h:mm:ss"/>
    <numFmt numFmtId="167" formatCode="0.0%"/>
  </numFmts>
  <fonts count="49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20.0"/>
      <color rgb="FFFFFFFF"/>
      <name val="Arial"/>
    </font>
    <font>
      <i/>
      <sz val="10.0"/>
      <color rgb="FF334760"/>
      <name val="Arial"/>
    </font>
    <font>
      <b/>
      <sz val="10.0"/>
      <color rgb="FF143D6B"/>
      <name val="Arial"/>
    </font>
    <font/>
    <font>
      <b/>
      <sz val="11.0"/>
      <color rgb="FF1E2D47"/>
      <name val="Arial"/>
    </font>
    <font>
      <sz val="9.0"/>
      <color rgb="FF384456"/>
      <name val="Arial"/>
    </font>
    <font>
      <b/>
      <sz val="13.0"/>
      <color rgb="FF142847"/>
      <name val="Arial"/>
    </font>
    <font>
      <color theme="1"/>
      <name val="Calibri"/>
      <scheme val="minor"/>
    </font>
    <font>
      <b/>
      <color rgb="FF1E592B"/>
      <name val="Calibri"/>
      <scheme val="minor"/>
    </font>
    <font>
      <b/>
      <sz val="11.0"/>
      <color rgb="FFFFFFFF"/>
      <name val="Arial"/>
    </font>
    <font>
      <b/>
      <sz val="9.0"/>
      <color rgb="FF1E2D47"/>
      <name val="Arial"/>
    </font>
    <font>
      <sz val="10.0"/>
      <color rgb="FF212833"/>
      <name val="Arial"/>
    </font>
    <font>
      <b/>
      <sz val="9.0"/>
      <color rgb="FFFFFFFF"/>
      <name val="Arial"/>
    </font>
    <font>
      <sz val="9.0"/>
      <color rgb="FF212833"/>
      <name val="Arial"/>
    </font>
    <font>
      <b/>
      <u/>
      <sz val="10.0"/>
      <color rgb="FF143D6B"/>
      <name val="Arial"/>
    </font>
    <font>
      <u/>
      <color rgb="FF0000FF"/>
    </font>
    <font>
      <i/>
      <sz val="10.0"/>
      <color rgb="FF38475E"/>
      <name val="Arial"/>
    </font>
    <font>
      <sz val="11.0"/>
      <color rgb="FF1E2838"/>
      <name val="Arial"/>
    </font>
    <font>
      <b/>
      <sz val="20.0"/>
      <color rgb="FFFFFFFF"/>
      <name val="Calibri"/>
      <scheme val="minor"/>
    </font>
    <font>
      <i/>
      <sz val="10.0"/>
      <color rgb="FF091F39"/>
      <name val="Calibri"/>
      <scheme val="minor"/>
    </font>
    <font>
      <b/>
      <sz val="12.0"/>
      <color rgb="FF091F39"/>
      <name val="Calibri"/>
      <scheme val="minor"/>
    </font>
    <font>
      <b/>
      <sz val="11.0"/>
      <color rgb="FF091F39"/>
      <name val="Calibri"/>
      <scheme val="minor"/>
    </font>
    <font>
      <b/>
      <sz val="9.0"/>
      <color rgb="FFFFFFFF"/>
      <name val="Calibri"/>
      <scheme val="minor"/>
    </font>
    <font>
      <sz val="10.0"/>
      <color theme="1"/>
      <name val="Calibri"/>
      <scheme val="minor"/>
    </font>
    <font>
      <b/>
      <sz val="12.0"/>
      <color rgb="FF142847"/>
      <name val="Arial"/>
    </font>
    <font>
      <sz val="9.0"/>
      <color theme="1"/>
      <name val="Arial"/>
    </font>
    <font>
      <sz val="10.0"/>
      <color theme="1"/>
      <name val="Arial"/>
    </font>
    <font>
      <b/>
      <u/>
      <sz val="11.0"/>
      <color rgb="FF143D6B"/>
      <name val="Arial"/>
    </font>
    <font>
      <sz val="9.0"/>
      <color rgb="FF475160"/>
      <name val="Arial"/>
    </font>
    <font>
      <b/>
      <sz val="9.0"/>
      <color rgb="FF143D6B"/>
      <name val="Arial"/>
    </font>
    <font>
      <b/>
      <sz val="11.0"/>
      <color rgb="FF724705"/>
      <name val="Calibri"/>
      <scheme val="minor"/>
    </font>
    <font>
      <b/>
      <sz val="18.0"/>
      <color rgb="FFFFFFFF"/>
      <name val="Calibri"/>
      <scheme val="minor"/>
    </font>
    <font>
      <i/>
      <sz val="10.0"/>
      <color rgb="FF595959"/>
      <name val="Calibri"/>
      <scheme val="minor"/>
    </font>
    <font>
      <b/>
      <sz val="13.0"/>
      <color rgb="FF0A1F39"/>
      <name val="Calibri"/>
      <scheme val="minor"/>
    </font>
    <font>
      <b/>
      <sz val="13.0"/>
      <color rgb="FF19591E"/>
      <name val="Calibri"/>
      <scheme val="minor"/>
    </font>
    <font>
      <b/>
      <sz val="13.0"/>
      <color rgb="FF593F00"/>
      <name val="Calibri"/>
      <scheme val="minor"/>
    </font>
    <font>
      <b/>
      <sz val="11.0"/>
      <color rgb="FF0A1F39"/>
      <name val="Calibri"/>
      <scheme val="minor"/>
    </font>
    <font>
      <b/>
      <sz val="10.0"/>
      <color rgb="FF0A1F39"/>
      <name val="Calibri"/>
      <scheme val="minor"/>
    </font>
    <font>
      <b/>
      <sz val="10.0"/>
      <color rgb="FFFFFFFF"/>
      <name val="Calibri"/>
      <scheme val="minor"/>
    </font>
    <font>
      <b/>
      <sz val="18.0"/>
      <color rgb="FFFFFFFF"/>
      <name val="Arial"/>
    </font>
    <font>
      <i/>
      <sz val="9.0"/>
      <color rgb="FF38475E"/>
      <name val="Arial"/>
    </font>
    <font>
      <b/>
      <sz val="16.0"/>
      <color rgb="FFFFFFFF"/>
      <name val="Calibri"/>
      <scheme val="minor"/>
    </font>
    <font>
      <b/>
      <color rgb="FF0B1F3A"/>
      <name val="Calibri"/>
      <scheme val="minor"/>
    </font>
    <font>
      <sz val="11.0"/>
      <color theme="1"/>
      <name val="Calibri"/>
    </font>
    <font>
      <b/>
      <sz val="11.0"/>
      <color rgb="FF0B1F3A"/>
      <name val="Calibri"/>
      <scheme val="minor"/>
    </font>
    <font>
      <u/>
      <sz val="11.0"/>
      <color theme="1"/>
      <name val="Calibri"/>
    </font>
    <font>
      <i/>
      <color rgb="FF666666"/>
      <name val="Calibri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173B5B"/>
        <bgColor rgb="FF173B5B"/>
      </patternFill>
    </fill>
    <fill>
      <patternFill patternType="solid">
        <fgColor rgb="FF0E1E34"/>
        <bgColor rgb="FF0E1E34"/>
      </patternFill>
    </fill>
    <fill>
      <patternFill patternType="solid">
        <fgColor rgb="FFEAF2F9"/>
        <bgColor rgb="FFEAF2F9"/>
      </patternFill>
    </fill>
    <fill>
      <patternFill patternType="solid">
        <fgColor rgb="FFF4F8FC"/>
        <bgColor rgb="FFF4F8FC"/>
      </patternFill>
    </fill>
    <fill>
      <patternFill patternType="solid">
        <fgColor rgb="FFE5EDF4"/>
        <bgColor rgb="FFE5EDF4"/>
      </patternFill>
    </fill>
    <fill>
      <patternFill patternType="solid">
        <fgColor rgb="FFFBFCFD"/>
        <bgColor rgb="FFFBFCFD"/>
      </patternFill>
    </fill>
    <fill>
      <patternFill patternType="solid">
        <fgColor rgb="FFFFFFFF"/>
        <bgColor rgb="FFFFFFFF"/>
      </patternFill>
    </fill>
    <fill>
      <patternFill patternType="solid">
        <fgColor rgb="FFE8F4EA"/>
        <bgColor rgb="FFE8F4EA"/>
      </patternFill>
    </fill>
    <fill>
      <patternFill patternType="solid">
        <fgColor rgb="FFF6F8FB"/>
        <bgColor rgb="FFF6F8FB"/>
      </patternFill>
    </fill>
    <fill>
      <patternFill patternType="solid">
        <fgColor rgb="FF091F39"/>
        <bgColor rgb="FF091F39"/>
      </patternFill>
    </fill>
    <fill>
      <patternFill patternType="solid">
        <fgColor rgb="FFE8F2FC"/>
        <bgColor rgb="FFE8F2FC"/>
      </patternFill>
    </fill>
    <fill>
      <patternFill patternType="solid">
        <fgColor rgb="FFF2F7FC"/>
        <bgColor rgb="FFF2F7FC"/>
      </patternFill>
    </fill>
    <fill>
      <patternFill patternType="solid">
        <fgColor rgb="FFEFF7EF"/>
        <bgColor rgb="FFEFF7EF"/>
      </patternFill>
    </fill>
    <fill>
      <patternFill patternType="solid">
        <fgColor rgb="FFF7F9FC"/>
        <bgColor rgb="FFF7F9FC"/>
      </patternFill>
    </fill>
    <fill>
      <patternFill patternType="solid">
        <fgColor rgb="FFFFF2DB"/>
        <bgColor rgb="FFFFF2DB"/>
      </patternFill>
    </fill>
    <fill>
      <patternFill patternType="solid">
        <fgColor rgb="FF0A1F39"/>
        <bgColor rgb="FF0A1F39"/>
      </patternFill>
    </fill>
    <fill>
      <patternFill patternType="solid">
        <fgColor rgb="FFE5F4E5"/>
        <bgColor rgb="FFE5F4E5"/>
      </patternFill>
    </fill>
    <fill>
      <patternFill patternType="solid">
        <fgColor rgb="FFFFF2CC"/>
        <bgColor rgb="FFFFF2CC"/>
      </patternFill>
    </fill>
    <fill>
      <patternFill patternType="solid">
        <fgColor rgb="FF0B1F3A"/>
        <bgColor rgb="FF0B1F3A"/>
      </patternFill>
    </fill>
    <fill>
      <patternFill patternType="solid">
        <fgColor rgb="FFDCE6F1"/>
        <bgColor rgb="FFDCE6F1"/>
      </patternFill>
    </fill>
  </fills>
  <borders count="47">
    <border/>
    <border>
      <left style="thin">
        <color rgb="FFD1DDEA"/>
      </left>
      <top style="thin">
        <color rgb="FFD1DDEA"/>
      </top>
    </border>
    <border>
      <right style="thin">
        <color rgb="FFD1DDEA"/>
      </right>
      <top style="thin">
        <color rgb="FFD1DDEA"/>
      </top>
    </border>
    <border>
      <left style="thin">
        <color rgb="FFD1DDEA"/>
      </left>
      <bottom style="thin">
        <color rgb="FFD1DDEA"/>
      </bottom>
    </border>
    <border>
      <right style="thin">
        <color rgb="FFD1DDEA"/>
      </right>
      <bottom style="thin">
        <color rgb="FFD1DDEA"/>
      </bottom>
    </border>
    <border>
      <left style="thin">
        <color rgb="FFE5EAEF"/>
      </left>
      <right style="thin">
        <color rgb="FFE5EAEF"/>
      </right>
      <top style="thin">
        <color rgb="FFE5EAEF"/>
      </top>
      <bottom style="thin">
        <color rgb="FFE5EAEF"/>
      </bottom>
    </border>
    <border>
      <left style="thin">
        <color rgb="FFDBE2ED"/>
      </left>
      <top style="thin">
        <color rgb="FFDBE2ED"/>
      </top>
    </border>
    <border>
      <right style="thin">
        <color rgb="FFDBE2ED"/>
      </right>
      <top style="thin">
        <color rgb="FFDBE2ED"/>
      </top>
    </border>
    <border>
      <left style="thin">
        <color rgb="FFDBE2ED"/>
      </left>
      <right style="thin">
        <color rgb="FFDBE2ED"/>
      </right>
      <top style="thin">
        <color rgb="FFDBE2ED"/>
      </top>
    </border>
    <border>
      <left style="thin">
        <color rgb="FFDBE2ED"/>
      </left>
    </border>
    <border>
      <right style="thin">
        <color rgb="FFDBE2ED"/>
      </right>
    </border>
    <border>
      <left style="thin">
        <color rgb="FFDBE2ED"/>
      </left>
      <right style="thin">
        <color rgb="FFDBE2ED"/>
      </right>
    </border>
    <border>
      <left style="thin">
        <color rgb="FFDBE2ED"/>
      </left>
      <bottom style="thin">
        <color rgb="FFDBE2ED"/>
      </bottom>
    </border>
    <border>
      <right style="thin">
        <color rgb="FFDBE2ED"/>
      </right>
      <bottom style="thin">
        <color rgb="FFDBE2ED"/>
      </bottom>
    </border>
    <border>
      <left style="thin">
        <color rgb="FFDBE2ED"/>
      </left>
      <right style="thin">
        <color rgb="FFDBE2ED"/>
      </right>
      <bottom style="thin">
        <color rgb="FFDBE2ED"/>
      </bottom>
    </border>
    <border>
      <bottom style="thin">
        <color rgb="FFEDEFF2"/>
      </bottom>
    </border>
    <border>
      <left style="thin">
        <color rgb="FFD6E0EA"/>
      </left>
      <top style="thin">
        <color rgb="FFD6E0EA"/>
      </top>
    </border>
    <border>
      <top style="thin">
        <color rgb="FFD6E0EA"/>
      </top>
    </border>
    <border>
      <right style="thin">
        <color rgb="FFD6E0EA"/>
      </right>
      <top style="thin">
        <color rgb="FFD6E0EA"/>
      </top>
    </border>
    <border>
      <left style="thin">
        <color rgb="FFD6E0EA"/>
      </left>
    </border>
    <border>
      <right style="thin">
        <color rgb="FFD6E0EA"/>
      </right>
    </border>
    <border>
      <left style="thin">
        <color rgb="FFD6E0EA"/>
      </left>
      <bottom style="thin">
        <color rgb="FFD6E0EA"/>
      </bottom>
    </border>
    <border>
      <bottom style="thin">
        <color rgb="FFD6E0EA"/>
      </bottom>
    </border>
    <border>
      <right style="thin">
        <color rgb="FFD6E0EA"/>
      </right>
      <bottom style="thin">
        <color rgb="FFD6E0EA"/>
      </bottom>
    </border>
    <border>
      <top style="thin">
        <color rgb="FFDBE2ED"/>
      </top>
    </border>
    <border>
      <left style="thin">
        <color rgb="FFE8EDF2"/>
      </left>
      <right style="thin">
        <color rgb="FFE8EDF2"/>
      </right>
      <top style="thin">
        <color rgb="FFE8EDF2"/>
      </top>
      <bottom style="thin">
        <color rgb="FFE8EDF2"/>
      </bottom>
    </border>
    <border>
      <bottom style="thin">
        <color rgb="FFDBE2ED"/>
      </bottom>
    </border>
    <border>
      <left style="thin">
        <color rgb="FFC6D6E5"/>
      </left>
      <top style="thin">
        <color rgb="FFC6D6E5"/>
      </top>
    </border>
    <border>
      <top style="thin">
        <color rgb="FFC6D6E5"/>
      </top>
    </border>
    <border>
      <right style="thin">
        <color rgb="FFC6D6E5"/>
      </right>
      <top style="thin">
        <color rgb="FFC6D6E5"/>
      </top>
    </border>
    <border>
      <left style="thin">
        <color rgb="FFC6D6E5"/>
      </left>
    </border>
    <border>
      <right style="thin">
        <color rgb="FFC6D6E5"/>
      </right>
    </border>
    <border>
      <left style="thin">
        <color rgb="FFC6D6E5"/>
      </left>
      <bottom style="thin">
        <color rgb="FFC6D6E5"/>
      </bottom>
    </border>
    <border>
      <bottom style="thin">
        <color rgb="FFC6D6E5"/>
      </bottom>
    </border>
    <border>
      <right style="thin">
        <color rgb="FFC6D6E5"/>
      </right>
      <bottom style="thin">
        <color rgb="FFC6D6E5"/>
      </bottom>
    </border>
    <border>
      <left style="thin">
        <color rgb="FFE5EAEF"/>
      </left>
      <top style="thin">
        <color rgb="FFE5EAEF"/>
      </top>
    </border>
    <border>
      <right style="thin">
        <color rgb="FFE5EAEF"/>
      </right>
      <top style="thin">
        <color rgb="FFE5EAEF"/>
      </top>
    </border>
    <border>
      <top style="thin">
        <color rgb="FFE5EAEF"/>
      </top>
    </border>
    <border>
      <left style="thin">
        <color rgb="FFE5EAEF"/>
      </left>
    </border>
    <border>
      <right style="thin">
        <color rgb="FFE5EAEF"/>
      </right>
    </border>
    <border>
      <left style="thin">
        <color rgb="FFE5EAEF"/>
      </left>
      <bottom style="thin">
        <color rgb="FFE5EAEF"/>
      </bottom>
    </border>
    <border>
      <right style="thin">
        <color rgb="FFE5EAEF"/>
      </right>
      <bottom style="thin">
        <color rgb="FFE5EAEF"/>
      </bottom>
    </border>
    <border>
      <bottom style="thin">
        <color rgb="FFE5EAE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left" shrinkToFit="0" vertical="center" wrapText="1"/>
    </xf>
    <xf borderId="0" fillId="4" fontId="3" numFmtId="0" xfId="0" applyAlignment="1" applyFill="1" applyFont="1">
      <alignment horizontal="left" vertical="center"/>
    </xf>
    <xf borderId="1" fillId="5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0" fillId="6" fontId="6" numFmtId="0" xfId="0" applyAlignment="1" applyFill="1" applyFont="1">
      <alignment vertical="center"/>
    </xf>
    <xf borderId="5" fillId="7" fontId="7" numFmtId="0" xfId="0" applyAlignment="1" applyBorder="1" applyFill="1" applyFont="1">
      <alignment horizontal="center" vertical="center"/>
    </xf>
    <xf borderId="6" fillId="8" fontId="8" numFmtId="0" xfId="0" applyAlignment="1" applyBorder="1" applyFill="1" applyFont="1">
      <alignment horizontal="center" shrinkToFit="0" vertical="center" wrapText="1"/>
    </xf>
    <xf borderId="7" fillId="0" fontId="9" numFmtId="0" xfId="0" applyBorder="1" applyFont="1"/>
    <xf borderId="7" fillId="0" fontId="5" numFmtId="0" xfId="0" applyBorder="1" applyFont="1"/>
    <xf borderId="8" fillId="8" fontId="8" numFmtId="0" xfId="0" applyAlignment="1" applyBorder="1" applyFill="1" applyFont="1">
      <alignment horizontal="center" shrinkToFit="0" vertical="center" wrapText="1"/>
    </xf>
    <xf quotePrefix="1" borderId="5" fillId="7" fontId="7" numFmtId="0" xfId="0" applyAlignment="1" applyBorder="1" applyFill="1" applyFont="1">
      <alignment horizontal="center" vertical="center"/>
    </xf>
    <xf quotePrefix="1" borderId="5" fillId="9" fontId="10" numFmtId="0" xfId="0" applyAlignment="1" applyBorder="1" applyFill="1" applyFon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0" fillId="3" fontId="11" numFmtId="0" xfId="0" applyAlignment="1" applyFill="1" applyFont="1">
      <alignment vertical="center"/>
    </xf>
    <xf borderId="0" fillId="6" fontId="12" numFmtId="0" xfId="0" applyAlignment="1" applyFill="1" applyFont="1">
      <alignment shrinkToFit="0" vertical="center" wrapText="1"/>
    </xf>
    <xf borderId="15" fillId="8" fontId="13" numFmtId="0" xfId="0" applyAlignment="1" applyBorder="1" applyFill="1" applyFont="1">
      <alignment shrinkToFit="0" vertical="center" wrapText="1"/>
    </xf>
    <xf borderId="15" fillId="8" fontId="13" numFmtId="164" xfId="0" applyAlignment="1" applyBorder="1" applyFill="1" applyFont="1" applyNumberFormat="1">
      <alignment shrinkToFit="0" vertical="center" wrapText="1"/>
    </xf>
    <xf borderId="0" fillId="0" fontId="9" numFmtId="164" xfId="0" applyFont="1" applyNumberFormat="1"/>
    <xf borderId="0" fillId="6" fontId="6" numFmtId="0" xfId="0" applyFill="1" applyFont="1"/>
    <xf borderId="0" fillId="3" fontId="14" numFmtId="0" xfId="0" applyAlignment="1" applyFill="1" applyFont="1">
      <alignment shrinkToFit="0" wrapText="1"/>
    </xf>
    <xf borderId="15" fillId="0" fontId="15" numFmtId="0" xfId="0" applyAlignment="1" applyBorder="1" applyFont="1">
      <alignment shrinkToFit="0" vertical="center" wrapText="1"/>
    </xf>
    <xf borderId="0" fillId="0" fontId="9" numFmtId="0" xfId="0" applyAlignment="1" applyFont="1">
      <alignment readingOrder="0"/>
    </xf>
    <xf borderId="16" fillId="10" fontId="16" numFmtId="0" xfId="0" applyAlignment="1" applyBorder="1" applyFill="1" applyFont="1">
      <alignment horizontal="center" shrinkToFit="0" vertical="center" wrapText="1"/>
    </xf>
    <xf borderId="17" fillId="0" fontId="5" numFmtId="0" xfId="0" applyBorder="1" applyFont="1"/>
    <xf borderId="18" fillId="0" fontId="5" numFmtId="0" xfId="0" applyBorder="1" applyFont="1"/>
    <xf borderId="0" fillId="0" fontId="17" numFmtId="0" xfId="0" applyAlignment="1" applyFont="1">
      <alignment readingOrder="0"/>
    </xf>
    <xf quotePrefix="1" borderId="0" fillId="0" fontId="9" numFmtId="0" xfId="0" applyAlignment="1" applyFont="1">
      <alignment readingOrder="0"/>
    </xf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9" numFmtId="166" xfId="0" applyAlignment="1" applyFont="1" applyNumberFormat="1">
      <alignment readingOrder="0"/>
    </xf>
    <xf borderId="0" fillId="3" fontId="2" numFmtId="0" xfId="0" applyAlignment="1" applyFill="1" applyFont="1">
      <alignment vertical="center"/>
    </xf>
    <xf borderId="0" fillId="4" fontId="18" numFmtId="0" xfId="0" applyAlignment="1" applyFill="1" applyFont="1">
      <alignment vertical="center"/>
    </xf>
    <xf borderId="6" fillId="8" fontId="19" numFmtId="0" xfId="0" applyAlignment="1" applyBorder="1" applyFill="1" applyFont="1">
      <alignment shrinkToFit="0" vertical="top" wrapText="1"/>
    </xf>
    <xf borderId="24" fillId="0" fontId="5" numFmtId="0" xfId="0" applyBorder="1" applyFont="1"/>
    <xf borderId="25" fillId="7" fontId="7" numFmtId="0" xfId="0" applyAlignment="1" applyBorder="1" applyFill="1" applyFont="1">
      <alignment horizontal="center" vertical="center"/>
    </xf>
    <xf borderId="0" fillId="11" fontId="20" numFmtId="0" xfId="0" applyAlignment="1" applyFill="1" applyFont="1">
      <alignment horizontal="left" shrinkToFit="0" vertical="center" wrapText="1"/>
    </xf>
    <xf borderId="0" fillId="12" fontId="21" numFmtId="0" xfId="0" applyAlignment="1" applyFill="1" applyFont="1">
      <alignment horizontal="left" vertical="center"/>
    </xf>
    <xf quotePrefix="1" borderId="25" fillId="7" fontId="7" numFmtId="0" xfId="0" applyAlignment="1" applyBorder="1" applyFill="1" applyFont="1">
      <alignment horizontal="center" vertical="center"/>
    </xf>
    <xf quotePrefix="1" borderId="25" fillId="9" fontId="10" numFmtId="0" xfId="0" applyAlignment="1" applyBorder="1" applyFill="1" applyFont="1">
      <alignment horizontal="center" vertical="center"/>
    </xf>
    <xf borderId="26" fillId="0" fontId="5" numFmtId="0" xfId="0" applyBorder="1" applyFont="1"/>
    <xf borderId="27" fillId="13" fontId="22" numFmtId="0" xfId="0" applyAlignment="1" applyBorder="1" applyFill="1" applyFont="1">
      <alignment horizontal="center" shrinkToFit="0" vertical="center" wrapText="1"/>
    </xf>
    <xf borderId="28" fillId="0" fontId="5" numFmtId="0" xfId="0" applyBorder="1" applyFont="1"/>
    <xf borderId="0" fillId="11" fontId="20" numFmtId="0" xfId="0" applyAlignment="1" applyFill="1" applyFont="1">
      <alignment horizontal="left" vertical="center"/>
    </xf>
    <xf borderId="29" fillId="0" fontId="5" numFmtId="0" xfId="0" applyBorder="1" applyFont="1"/>
    <xf borderId="0" fillId="3" fontId="11" numFmtId="0" xfId="0" applyFill="1" applyFont="1"/>
    <xf borderId="15" fillId="8" fontId="15" numFmtId="0" xfId="0" applyAlignment="1" applyBorder="1" applyFill="1" applyFont="1">
      <alignment shrinkToFit="0" vertical="center" wrapText="1"/>
    </xf>
    <xf borderId="15" fillId="14" fontId="10" numFmtId="0" xfId="0" applyAlignment="1" applyBorder="1" applyFill="1" applyFont="1">
      <alignment shrinkToFit="0" vertical="center" wrapText="1"/>
    </xf>
    <xf borderId="30" fillId="0" fontId="5" numFmtId="0" xfId="0" applyBorder="1" applyFont="1"/>
    <xf borderId="31" fillId="0" fontId="5" numFmtId="0" xfId="0" applyBorder="1" applyFont="1"/>
    <xf borderId="32" fillId="0" fontId="5" numFmtId="0" xfId="0" applyBorder="1" applyFont="1"/>
    <xf borderId="33" fillId="0" fontId="5" numFmtId="0" xfId="0" applyBorder="1" applyFont="1"/>
    <xf borderId="34" fillId="0" fontId="5" numFmtId="0" xfId="0" applyBorder="1" applyFont="1"/>
    <xf borderId="0" fillId="12" fontId="23" numFmtId="0" xfId="0" applyAlignment="1" applyFill="1" applyFont="1">
      <alignment vertical="center"/>
    </xf>
    <xf borderId="0" fillId="11" fontId="24" numFmtId="0" xfId="0" applyAlignment="1" applyFill="1" applyFont="1">
      <alignment horizontal="center" shrinkToFit="0" vertical="center" wrapText="1"/>
    </xf>
    <xf borderId="0" fillId="12" fontId="21" numFmtId="0" xfId="0" applyFill="1" applyFont="1"/>
    <xf borderId="0" fillId="0" fontId="25" numFmtId="0" xfId="0" applyAlignment="1" applyFont="1">
      <alignment shrinkToFit="0" vertical="center" wrapText="1"/>
    </xf>
    <xf borderId="0" fillId="0" fontId="25" numFmtId="164" xfId="0" applyAlignment="1" applyFont="1" applyNumberFormat="1">
      <alignment shrinkToFit="0" vertical="center" wrapText="1"/>
    </xf>
    <xf borderId="0" fillId="12" fontId="23" numFmtId="0" xfId="0" applyAlignment="1" applyFill="1" applyFont="1">
      <alignment readingOrder="0" vertical="center"/>
    </xf>
    <xf borderId="0" fillId="11" fontId="24" numFmtId="0" xfId="0" applyAlignment="1" applyFill="1" applyFont="1">
      <alignment horizontal="center" readingOrder="0" shrinkToFit="0" vertical="center" wrapText="1"/>
    </xf>
    <xf borderId="0" fillId="6" fontId="12" numFmtId="0" xfId="0" applyAlignment="1" applyFill="1" applyFont="1">
      <alignment horizontal="center" readingOrder="0" vertical="center"/>
    </xf>
    <xf borderId="35" fillId="7" fontId="15" numFmtId="0" xfId="0" applyAlignment="1" applyBorder="1" applyFill="1" applyFont="1">
      <alignment shrinkToFit="0" vertical="top" wrapText="1"/>
    </xf>
    <xf borderId="36" fillId="0" fontId="5" numFmtId="0" xfId="0" applyBorder="1" applyFont="1"/>
    <xf borderId="37" fillId="0" fontId="5" numFmtId="0" xfId="0" applyBorder="1" applyFont="1"/>
    <xf borderId="38" fillId="0" fontId="5" numFmtId="0" xfId="0" applyBorder="1" applyFont="1"/>
    <xf borderId="39" fillId="0" fontId="5" numFmtId="0" xfId="0" applyBorder="1" applyFont="1"/>
    <xf borderId="40" fillId="0" fontId="5" numFmtId="0" xfId="0" applyBorder="1" applyFont="1"/>
    <xf borderId="41" fillId="0" fontId="5" numFmtId="0" xfId="0" applyBorder="1" applyFont="1"/>
    <xf borderId="42" fillId="0" fontId="5" numFmtId="0" xfId="0" applyBorder="1" applyFont="1"/>
    <xf borderId="0" fillId="12" fontId="23" numFmtId="0" xfId="0" applyFill="1" applyFont="1"/>
    <xf borderId="0" fillId="4" fontId="18" numFmtId="0" xfId="0" applyFill="1" applyFont="1"/>
    <xf borderId="6" fillId="8" fontId="26" numFmtId="0" xfId="0" applyAlignment="1" applyBorder="1" applyFill="1" applyFont="1">
      <alignment horizontal="center" shrinkToFit="0" vertical="center" wrapText="1"/>
    </xf>
    <xf borderId="24" fillId="0" fontId="9" numFmtId="0" xfId="0" applyBorder="1" applyFont="1"/>
    <xf borderId="6" fillId="8" fontId="26" numFmtId="0" xfId="0" applyAlignment="1" applyBorder="1" applyFill="1" applyFont="1">
      <alignment horizontal="center" readingOrder="0" shrinkToFit="0" vertical="center" wrapText="1"/>
    </xf>
    <xf borderId="0" fillId="3" fontId="14" numFmtId="0" xfId="0" applyAlignment="1" applyFill="1" applyFont="1">
      <alignment horizontal="center" shrinkToFit="0" wrapText="1"/>
    </xf>
    <xf borderId="15" fillId="0" fontId="27" numFmtId="0" xfId="0" applyAlignment="1" applyBorder="1" applyFont="1">
      <alignment horizontal="center" shrinkToFit="0" vertical="center" wrapText="1"/>
    </xf>
    <xf borderId="15" fillId="0" fontId="28" numFmtId="0" xfId="0" applyAlignment="1" applyBorder="1" applyFont="1">
      <alignment shrinkToFit="0" vertical="center" wrapText="1"/>
    </xf>
    <xf borderId="15" fillId="0" fontId="28" numFmtId="164" xfId="0" applyAlignment="1" applyBorder="1" applyFont="1" applyNumberFormat="1">
      <alignment shrinkToFit="0" vertical="center" wrapText="1"/>
    </xf>
    <xf borderId="16" fillId="5" fontId="29" numFmtId="0" xfId="0" applyAlignment="1" applyBorder="1" applyFill="1" applyFont="1">
      <alignment horizontal="center" shrinkToFit="0" vertical="center" wrapText="1"/>
    </xf>
    <xf borderId="0" fillId="6" fontId="12" numFmtId="0" xfId="0" applyAlignment="1" applyFill="1" applyFont="1">
      <alignment shrinkToFit="0" wrapText="1"/>
    </xf>
    <xf borderId="15" fillId="0" fontId="13" numFmtId="0" xfId="0" applyAlignment="1" applyBorder="1" applyFont="1">
      <alignment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15" fontId="30" numFmtId="0" xfId="0" applyAlignment="1" applyFill="1" applyFont="1">
      <alignment shrinkToFit="0" wrapText="1"/>
    </xf>
    <xf borderId="0" fillId="3" fontId="14" numFmtId="0" xfId="0" applyAlignment="1" applyFill="1" applyFont="1">
      <alignment horizontal="center" shrinkToFit="0" vertical="center" wrapText="1"/>
    </xf>
    <xf borderId="0" fillId="0" fontId="9" numFmtId="0" xfId="0" applyFont="1"/>
    <xf borderId="0" fillId="11" fontId="20" numFmtId="0" xfId="0" applyAlignment="1" applyFill="1" applyFont="1">
      <alignment vertical="center"/>
    </xf>
    <xf borderId="0" fillId="3" fontId="11" numFmtId="0" xfId="0" applyAlignment="1" applyFill="1" applyFont="1">
      <alignment readingOrder="0"/>
    </xf>
    <xf borderId="0" fillId="5" fontId="31" numFmtId="0" xfId="0" applyAlignment="1" applyFill="1" applyFont="1">
      <alignment horizontal="center" shrinkToFit="0" vertical="center" wrapText="1"/>
    </xf>
    <xf borderId="0" fillId="16" fontId="32" numFmtId="0" xfId="0" applyFill="1" applyFont="1"/>
    <xf borderId="15" fillId="0" fontId="27" numFmtId="0" xfId="0" applyAlignment="1" applyBorder="1" applyFont="1">
      <alignment shrinkToFit="0" vertical="center" wrapText="1"/>
    </xf>
    <xf borderId="0" fillId="17" fontId="33" numFmtId="0" xfId="0" applyAlignment="1" applyFill="1" applyFont="1">
      <alignment vertical="center"/>
    </xf>
    <xf borderId="0" fillId="0" fontId="34" numFmtId="0" xfId="0" applyFont="1"/>
    <xf borderId="0" fillId="12" fontId="35" numFmtId="0" xfId="0" applyAlignment="1" applyFill="1" applyFont="1">
      <alignment horizontal="center" shrinkToFit="0" vertical="center" wrapText="1"/>
    </xf>
    <xf borderId="0" fillId="18" fontId="36" numFmtId="0" xfId="0" applyAlignment="1" applyFill="1" applyFont="1">
      <alignment horizontal="center" shrinkToFit="0" vertical="center" wrapText="1"/>
    </xf>
    <xf borderId="0" fillId="19" fontId="37" numFmtId="0" xfId="0" applyAlignment="1" applyFill="1" applyFont="1">
      <alignment horizontal="center" shrinkToFit="0" vertical="center" wrapText="1"/>
    </xf>
    <xf borderId="0" fillId="12" fontId="38" numFmtId="0" xfId="0" applyFill="1" applyFont="1"/>
    <xf borderId="0" fillId="17" fontId="24" numFmtId="0" xfId="0" applyAlignment="1" applyFill="1" applyFont="1">
      <alignment horizontal="center" shrinkToFit="0" vertical="center" wrapText="1"/>
    </xf>
    <xf borderId="0" fillId="12" fontId="39" numFmtId="0" xfId="0" applyAlignment="1" applyFill="1" applyFont="1">
      <alignment shrinkToFit="0" vertical="center" wrapText="1"/>
    </xf>
    <xf borderId="0" fillId="17" fontId="40" numFmtId="0" xfId="0" applyAlignment="1" applyFill="1" applyFont="1">
      <alignment horizontal="center" shrinkToFit="0" vertical="center" wrapText="1"/>
    </xf>
    <xf borderId="0" fillId="3" fontId="41" numFmtId="0" xfId="0" applyAlignment="1" applyFill="1" applyFont="1">
      <alignment vertical="center"/>
    </xf>
    <xf borderId="0" fillId="4" fontId="42" numFmtId="0" xfId="0" applyAlignment="1" applyFill="1" applyFont="1">
      <alignment shrinkToFit="0" wrapText="1"/>
    </xf>
    <xf borderId="15" fillId="8" fontId="15" numFmtId="0" xfId="0" applyAlignment="1" applyBorder="1" applyFill="1" applyFont="1">
      <alignment readingOrder="0" shrinkToFit="0" vertical="center" wrapText="1"/>
    </xf>
    <xf borderId="15" fillId="8" fontId="15" numFmtId="164" xfId="0" applyAlignment="1" applyBorder="1" applyFill="1" applyFont="1" applyNumberFormat="1">
      <alignment shrinkToFit="0" vertical="center" wrapText="1"/>
    </xf>
    <xf quotePrefix="1" borderId="15" fillId="8" fontId="15" numFmtId="0" xfId="0" applyAlignment="1" applyBorder="1" applyFill="1" applyFont="1">
      <alignment readingOrder="0" shrinkToFit="0" vertical="center" wrapText="1"/>
    </xf>
    <xf borderId="43" fillId="20" fontId="43" numFmtId="0" xfId="0" applyAlignment="1" applyBorder="1" applyFill="1" applyFont="1">
      <alignment horizontal="left" vertical="center"/>
    </xf>
    <xf borderId="44" fillId="0" fontId="5" numFmtId="0" xfId="0" applyBorder="1" applyFont="1"/>
    <xf borderId="45" fillId="0" fontId="5" numFmtId="0" xfId="0" applyBorder="1" applyFont="1"/>
    <xf borderId="0" fillId="0" fontId="44" numFmtId="0" xfId="0" applyFont="1"/>
    <xf borderId="0" fillId="0" fontId="45" numFmtId="0" xfId="0" applyAlignment="1" applyFont="1">
      <alignment shrinkToFit="0" vertical="top" wrapText="1"/>
    </xf>
    <xf borderId="43" fillId="21" fontId="46" numFmtId="0" xfId="0" applyAlignment="1" applyBorder="1" applyFill="1" applyFont="1">
      <alignment horizontal="left"/>
    </xf>
    <xf borderId="0" fillId="0" fontId="45" numFmtId="0" xfId="0" applyAlignment="1" applyFont="1">
      <alignment shrinkToFit="0" wrapText="1"/>
    </xf>
    <xf borderId="15" fillId="8" fontId="15" numFmtId="0" xfId="0" applyAlignment="1" applyBorder="1" applyFill="1" applyFont="1">
      <alignment readingOrder="0" shrinkToFit="0" vertical="center" wrapText="1"/>
    </xf>
    <xf borderId="15" fillId="8" fontId="15" numFmtId="166" xfId="0" applyAlignment="1" applyBorder="1" applyFill="1" applyFont="1" applyNumberFormat="1">
      <alignment readingOrder="0" shrinkToFit="0" vertical="center" wrapText="1"/>
    </xf>
    <xf borderId="46" fillId="20" fontId="1" numFmtId="0" xfId="0" applyAlignment="1" applyBorder="1" applyFill="1" applyFont="1">
      <alignment horizontal="center" shrinkToFit="0" wrapText="1"/>
    </xf>
    <xf borderId="0" fillId="0" fontId="45" numFmtId="167" xfId="0" applyFont="1" applyNumberFormat="1"/>
    <xf borderId="0" fillId="0" fontId="45" numFmtId="167" xfId="0" applyAlignment="1" applyFont="1" applyNumberFormat="1">
      <alignment readingOrder="0"/>
    </xf>
    <xf borderId="0" fillId="0" fontId="47" numFmtId="0" xfId="0" applyAlignment="1" applyFont="1">
      <alignment readingOrder="0" shrinkToFit="0" vertical="top" wrapText="1"/>
    </xf>
    <xf borderId="0" fillId="0" fontId="45" numFmtId="0" xfId="0" applyAlignment="1" applyFont="1">
      <alignment readingOrder="0" shrinkToFit="0" vertical="top" wrapText="1"/>
    </xf>
    <xf borderId="0" fillId="0" fontId="48" numFmtId="0" xfId="0" applyFont="1"/>
  </cellXfs>
  <cellStyles count="1">
    <cellStyle xfId="0" name="Normal" builtinId="0"/>
  </cellStyles>
  <dxfs count="7">
    <dxf>
      <font>
        <b/>
        <color rgb="FF19591E"/>
      </font>
      <fill>
        <patternFill patternType="solid">
          <fgColor rgb="FFE5F4E5"/>
          <bgColor rgb="FFE5F4E5"/>
        </patternFill>
      </fill>
      <border/>
    </dxf>
    <dxf>
      <font>
        <i/>
        <color rgb="FF666666"/>
      </font>
      <fill>
        <patternFill patternType="solid">
          <fgColor rgb="FFEAEAEA"/>
          <bgColor rgb="FFEAEAEA"/>
        </patternFill>
      </fill>
      <border/>
    </dxf>
    <dxf>
      <font>
        <b/>
      </font>
      <fill>
        <patternFill patternType="solid">
          <fgColor rgb="FFFCDBD1"/>
          <bgColor rgb="FFFCDBD1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zaAT-zqEQhwTW2ZNRLSnH8Peed7zZTzi3kd0RUHQRQ/edit" TargetMode="External"/><Relationship Id="rId2" Type="http://schemas.openxmlformats.org/officeDocument/2006/relationships/hyperlink" Target="https://docs.google.com/spreadsheets/d/1zrY3SOQiF2g8A_7z4ynA9mVnM7_qsvS8eBsebBRplmc/edit" TargetMode="External"/><Relationship Id="rId3" Type="http://schemas.openxmlformats.org/officeDocument/2006/relationships/hyperlink" Target="https://docs.google.com/spreadsheets/d/1_qBjYd0F4BYYTxLMJjEZbQynBdHH5JGe83-U7nheJOE/edit" TargetMode="External"/><Relationship Id="rId4" Type="http://schemas.openxmlformats.org/officeDocument/2006/relationships/hyperlink" Target="https://docs.google.com/spreadsheets/d/1Y1auf1Xc_wzNI4vh90JABYfC7HoifdcC/edit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zaAT-zqEQhwTW2ZNRLSnH8Peed7zZTzi3kd0RUHQRQ/edit" TargetMode="External"/><Relationship Id="rId2" Type="http://schemas.openxmlformats.org/officeDocument/2006/relationships/hyperlink" Target="https://docs.google.com/spreadsheets/d/1zrY3SOQiF2g8A_7z4ynA9mVnM7_qsvS8eBsebBRplmc/edit" TargetMode="External"/><Relationship Id="rId3" Type="http://schemas.openxmlformats.org/officeDocument/2006/relationships/hyperlink" Target="https://docs.google.com/spreadsheets/d/1_qBjYd0F4BYYTxLMJjEZbQynBdHH5JGe83-U7nheJOE/edit" TargetMode="External"/><Relationship Id="rId4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qBjYd0F4BYYTxLMJjEZbQynBdHH5JGe83-U7nheJOE/edit?usp=drivesdk" TargetMode="External"/><Relationship Id="rId2" Type="http://schemas.openxmlformats.org/officeDocument/2006/relationships/hyperlink" Target="https://drive.google.com/drive/folders/1-CWhZsNUR2dnbbCLLOInkSOOHtFU_utm" TargetMode="External"/><Relationship Id="rId3" Type="http://schemas.openxmlformats.org/officeDocument/2006/relationships/hyperlink" Target="https://docs.google.com/spreadsheets/d/1zrY3SOQiF2g8A_7z4ynA9mVnM7_qsvS8eBsebBRplmc/edit?usp=drivesdk" TargetMode="External"/><Relationship Id="rId4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tTlyDkRx8QSacj_As6QzL4R0U3CbgP0ZwGaKUzMaTus/edit?usp=drivesdk" TargetMode="External"/><Relationship Id="rId2" Type="http://schemas.openxmlformats.org/officeDocument/2006/relationships/hyperlink" Target="https://docs.google.com/document/d/1srmnbnV1hzpm1_uDIzAHMa26jetuXrXojau3SaBOkp0/edit?usp=drivesdk" TargetMode="External"/><Relationship Id="rId3" Type="http://schemas.openxmlformats.org/officeDocument/2006/relationships/hyperlink" Target="https://docs.google.com/spreadsheets/d/1_qBjYd0F4BYYTxLMJjEZbQynBdHH5JGe83-U7nheJOE/edit?usp=drivesdk" TargetMode="External"/><Relationship Id="rId4" Type="http://schemas.openxmlformats.org/officeDocument/2006/relationships/hyperlink" Target="https://docs.google.com/spreadsheets/d/1zrY3SOQiF2g8A_7z4ynA9mVnM7_qsvS8eBsebBRplmc/edit?usp=drivesdk" TargetMode="External"/><Relationship Id="rId5" Type="http://schemas.openxmlformats.org/officeDocument/2006/relationships/hyperlink" Target="https://docs.google.com/presentation/d/1Va2UIkSWL0s5wOi7MNcl7xbQONg7kE3dKpRRxlfgBCk/edit?usp=drivesdk" TargetMode="External"/><Relationship Id="rId6" Type="http://schemas.openxmlformats.org/officeDocument/2006/relationships/hyperlink" Target="https://docs.google.com/document/d/1fBgNWXM8nKMy2_cpL96r7LbkiepiOqsBDDq66eMwby8/edit?usp=drivesdk" TargetMode="External"/><Relationship Id="rId7" Type="http://schemas.openxmlformats.org/officeDocument/2006/relationships/hyperlink" Target="https://drive.google.com/drive/folders/1-CWhZsNUR2dnbbCLLOInkSOOHtFU_utm" TargetMode="External"/><Relationship Id="rId8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2" width="16.14"/>
  </cols>
  <sheetData>
    <row r="1" ht="25.5" customHeight="1">
      <c r="A1" s="2" t="s">
        <v>0</v>
      </c>
    </row>
    <row r="2" ht="25.5" customHeight="1"/>
    <row r="3" ht="21.0" customHeight="1">
      <c r="A3" s="3"/>
    </row>
    <row r="4" ht="21.0" customHeight="1"/>
    <row r="5" ht="25.5" customHeight="1">
      <c r="A5" s="4" t="str">
        <f>HYPERLINK("https://docs.google.com/spreadsheets/d/1_zaAT-zqEQhwTW2ZNRLSnH8Peed7zZTzi3kd0RUHQRQ/edit#gid=1238984194","MONTH PLAN\nOutcomes • calendar • close")</f>
        <v>MONTH PLAN\nOutcomes • calendar • close</v>
      </c>
      <c r="B5" s="5"/>
      <c r="C5" s="4" t="str">
        <f>HYPERLINK("https://docs.google.com/spreadsheets/d/1_zaAT-zqEQhwTW2ZNRLSnH8Peed7zZTzi3kd0RUHQRQ/edit#gid=2011001001","THIS WEEK\nCommitments • deadlines")</f>
        <v>THIS WEEK\nCommitments • deadlines</v>
      </c>
      <c r="D5" s="5"/>
      <c r="E5" s="4" t="str">
        <f>HYPERLINK("https://docs.google.com/spreadsheets/d/1_zaAT-zqEQhwTW2ZNRLSnH8Peed7zZTzi3kd0RUHQRQ/edit#gid=407341757","EDIBLE\nStore pulse • controls")</f>
        <v>EDIBLE\nStore pulse • controls</v>
      </c>
      <c r="F5" s="5"/>
      <c r="G5" s="4" t="str">
        <f>HYPERLINK("https://docs.google.com/spreadsheets/d/1_zaAT-zqEQhwTW2ZNRLSnH8Peed7zZTzi3kd0RUHQRQ/edit#gid=1338168960","GARDENIA'S\nLaunch • sales funnel")</f>
        <v>GARDENIA'S\nLaunch • sales funnel</v>
      </c>
      <c r="H5" s="5"/>
      <c r="I5" s="4" t="str">
        <f>HYPERLINK("https://docs.google.com/spreadsheets/d/1_zaAT-zqEQhwTW2ZNRLSnH8Peed7zZTzi3kd0RUHQRQ/edit#gid=1651640479","CALLS / FOLLOW-UP\nContacts • next touch")</f>
        <v>CALLS / FOLLOW-UP\nContacts • next touch</v>
      </c>
      <c r="J5" s="5"/>
      <c r="K5" s="4" t="str">
        <f>HYPERLINK("https://docs.google.com/spreadsheets/d/1_zaAT-zqEQhwTW2ZNRLSnH8Peed7zZTzi3kd0RUHQRQ/edit#gid=2011001003","PEOPLE\nSchedule • capacity")</f>
        <v>PEOPLE\nSchedule • capacity</v>
      </c>
      <c r="L5" s="5"/>
    </row>
    <row r="6" ht="25.5" customHeight="1">
      <c r="A6" s="6"/>
      <c r="B6" s="7"/>
      <c r="C6" s="6"/>
      <c r="D6" s="7"/>
      <c r="E6" s="6"/>
      <c r="F6" s="7"/>
      <c r="G6" s="6"/>
      <c r="H6" s="7"/>
      <c r="I6" s="6"/>
      <c r="J6" s="7"/>
      <c r="K6" s="6"/>
      <c r="L6" s="7"/>
    </row>
    <row r="7" ht="21.0" customHeight="1"/>
    <row r="8" ht="21.0" customHeight="1">
      <c r="A8" s="8" t="s">
        <v>15</v>
      </c>
      <c r="F8" s="8"/>
    </row>
    <row r="9" ht="21.0" customHeight="1"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</row>
    <row r="10" ht="21.0" customHeight="1">
      <c r="A10" s="10" t="str">
        <f>"CRITICAL MOVES\n"&amp;COUNTIFS('WORK DESK — UPDATE'!G:G,"Yes",'WORK DESK — UPDATE'!J:J,"&lt;&gt;Done",'WORK DESK — UPDATE'!J:J,"&lt;&gt;Dropped")&amp;" open"</f>
        <v>CRITICAL MOVES\n6 open</v>
      </c>
      <c r="B10" s="11"/>
      <c r="C10" s="10" t="str">
        <f>"WAITING / BLOCKED\n"&amp;(COUNTIF('WORK DESK — UPDATE'!J:J,"Waiting")+COUNTIF('WORK DESK — UPDATE'!J:J,"Blocked"))&amp;" items"</f>
        <v>WAITING / BLOCKED\n0 items</v>
      </c>
      <c r="D10" s="12"/>
      <c r="E10" s="13" t="str">
        <f>"DECISIONS\n"&amp;COUNTIF('06_DECISIONS'!G:G,"Open")</f>
        <v>DECISIONS\n1</v>
      </c>
      <c r="F10" s="14" t="s">
        <v>31</v>
      </c>
      <c r="G10" s="15" t="s">
        <v>36</v>
      </c>
      <c r="H10" s="15" t="s">
        <v>37</v>
      </c>
      <c r="I10" s="15" t="s">
        <v>38</v>
      </c>
      <c r="J10" s="15" t="s">
        <v>39</v>
      </c>
      <c r="K10" s="15" t="s">
        <v>40</v>
      </c>
      <c r="L10" s="14" t="s">
        <v>41</v>
      </c>
    </row>
    <row r="11" ht="21.0" customHeight="1">
      <c r="A11" s="16"/>
      <c r="B11" s="17"/>
      <c r="C11" s="16"/>
      <c r="D11" s="17"/>
      <c r="E11" s="18"/>
      <c r="F11" s="14" t="s">
        <v>42</v>
      </c>
      <c r="G11" s="14" t="s">
        <v>43</v>
      </c>
      <c r="H11" s="14" t="s">
        <v>44</v>
      </c>
      <c r="I11" s="14" t="s">
        <v>45</v>
      </c>
      <c r="J11" s="14" t="s">
        <v>46</v>
      </c>
      <c r="K11" s="14" t="s">
        <v>47</v>
      </c>
      <c r="L11" s="14" t="s">
        <v>48</v>
      </c>
    </row>
    <row r="12" ht="21.0" customHeight="1">
      <c r="A12" s="19"/>
      <c r="B12" s="20"/>
      <c r="C12" s="19"/>
      <c r="D12" s="20"/>
      <c r="E12" s="21"/>
      <c r="F12" s="14" t="s">
        <v>49</v>
      </c>
      <c r="G12" s="14" t="s">
        <v>50</v>
      </c>
      <c r="H12" s="14" t="s">
        <v>51</v>
      </c>
      <c r="I12" s="14" t="s">
        <v>52</v>
      </c>
      <c r="J12" s="14" t="s">
        <v>53</v>
      </c>
      <c r="K12" s="14" t="s">
        <v>54</v>
      </c>
      <c r="L12" s="14" t="s">
        <v>55</v>
      </c>
    </row>
    <row r="13" ht="21.0" customHeight="1">
      <c r="F13" s="14" t="s">
        <v>56</v>
      </c>
      <c r="G13" s="14" t="s">
        <v>57</v>
      </c>
      <c r="H13" s="14" t="s">
        <v>58</v>
      </c>
      <c r="I13" s="14" t="s">
        <v>59</v>
      </c>
      <c r="J13" s="14" t="s">
        <v>60</v>
      </c>
      <c r="K13" s="14" t="s">
        <v>61</v>
      </c>
      <c r="L13" s="14" t="s">
        <v>62</v>
      </c>
    </row>
    <row r="14" ht="21.0" customHeight="1">
      <c r="F14" s="14" t="s">
        <v>63</v>
      </c>
      <c r="G14" s="14" t="s">
        <v>64</v>
      </c>
      <c r="H14" s="14" t="s">
        <v>65</v>
      </c>
      <c r="I14" s="14" t="s">
        <v>31</v>
      </c>
      <c r="J14" s="14" t="s">
        <v>37</v>
      </c>
      <c r="K14" s="14" t="s">
        <v>38</v>
      </c>
      <c r="L14" s="14" t="s">
        <v>39</v>
      </c>
    </row>
    <row r="15" ht="21.0" customHeight="1"/>
    <row r="16" ht="21.0" customHeight="1">
      <c r="A16" s="22" t="s">
        <v>66</v>
      </c>
    </row>
    <row r="17" ht="21.0" customHeight="1">
      <c r="A17" s="23" t="s">
        <v>67</v>
      </c>
      <c r="B17" s="23" t="s">
        <v>68</v>
      </c>
      <c r="C17" s="23" t="s">
        <v>69</v>
      </c>
      <c r="D17" s="23" t="s">
        <v>70</v>
      </c>
      <c r="E17" s="23" t="s">
        <v>71</v>
      </c>
      <c r="F17" s="23" t="s">
        <v>72</v>
      </c>
      <c r="G17" s="23" t="s">
        <v>73</v>
      </c>
      <c r="H17" s="23"/>
      <c r="I17" s="23"/>
      <c r="J17" s="23"/>
      <c r="K17" s="23"/>
      <c r="L17" s="23"/>
    </row>
    <row r="18" ht="21.0" customHeight="1">
      <c r="A18" s="24" t="str">
        <f>IFERROR(__xludf.DUMMYFUNCTION("IFERROR(FILTER(HSTACK('WORK DESK — UPDATE'!B6:B120,'WORK DESK — UPDATE'!C6:C120,'WORK DESK — UPDATE'!D6:D120,'WORK DESK — UPDATE'!I6:I120,'WORK DESK — UPDATE'!J6:J120,'WORK DESK — UPDATE'!S6:S120,'WORK DESK — UPDATE'!K6:K120&amp;IF('WORK DESK — UPDATE'!Q6:Q12"&amp;"0=""Yes"","" • ESCALATE"","""")),'WORK DESK — UPDATE'!G6:G120=""Yes"",'WORK DESK — UPDATE'!J6:J120&lt;&gt;""Done"",'WORK DESK — UPDATE'!J6:J120&lt;&gt;""Dropped""),""No open critical moves"")"),"Gardenia's Fire")</f>
        <v>Gardenia's Fire</v>
      </c>
      <c r="B18" s="24" t="str">
        <f>IFERROR(__xludf.DUMMYFUNCTION("""COMPUTED_VALUE"""),"Confirm sellable offer is ready from Emmanuel's real-life process; capture only price/cost/margin or constraints needed for selling/management")</f>
        <v>Confirm sellable offer is ready from Emmanuel's real-life process; capture only price/cost/margin or constraints needed for selling/management</v>
      </c>
      <c r="C18" s="24" t="str">
        <f>IFERROR(__xludf.DUMMYFUNCTION("""COMPUTED_VALUE"""),"Emmanuel")</f>
        <v>Emmanuel</v>
      </c>
      <c r="D18" s="25">
        <f>IFERROR(__xludf.DUMMYFUNCTION("""COMPUTED_VALUE"""),46265.0)</f>
        <v>46265</v>
      </c>
      <c r="E18" s="24" t="str">
        <f>IFERROR(__xludf.DUMMYFUNCTION("""COMPUTED_VALUE"""),"In Progress")</f>
        <v>In Progress</v>
      </c>
      <c r="F18" s="24" t="str">
        <f>IFERROR(__xludf.DUMMYFUNCTION("""COMPUTED_VALUE"""),"Sales readiness / management economics without duplicating product development")</f>
        <v>Sales readiness / management economics without duplicating product development</v>
      </c>
      <c r="G18" s="24" t="str">
        <f>IFERROR(__xludf.DUMMYFUNCTION("""COMPUTED_VALUE"""),"")</f>
        <v/>
      </c>
      <c r="H18" s="24"/>
      <c r="I18" s="24"/>
      <c r="J18" s="24"/>
      <c r="K18" s="24"/>
      <c r="L18" s="24"/>
    </row>
    <row r="19" ht="21.0" customHeight="1">
      <c r="A19" s="24" t="str">
        <f>IFERROR(__xludf.DUMMYFUNCTION("""COMPUTED_VALUE"""),"Gardenia's Fire")</f>
        <v>Gardenia's Fire</v>
      </c>
      <c r="B19" s="24" t="str">
        <f>IFERROR(__xludf.DUMMYFUNCTION("""COMPUTED_VALUE"""),"Build/confirm target account list")</f>
        <v>Build/confirm target account list</v>
      </c>
      <c r="C19" s="24" t="str">
        <f>IFERROR(__xludf.DUMMYFUNCTION("""COMPUTED_VALUE"""),"Emmanuel")</f>
        <v>Emmanuel</v>
      </c>
      <c r="D19" s="25">
        <f>IFERROR(__xludf.DUMMYFUNCTION("""COMPUTED_VALUE"""),46266.0)</f>
        <v>46266</v>
      </c>
      <c r="E19" s="24" t="str">
        <f>IFERROR(__xludf.DUMMYFUNCTION("""COMPUTED_VALUE"""),"Open")</f>
        <v>Open</v>
      </c>
      <c r="F19" s="24" t="str">
        <f>IFERROR(__xludf.DUMMYFUNCTION("""COMPUTED_VALUE"""),"Create qualified sales pipeline")</f>
        <v>Create qualified sales pipeline</v>
      </c>
      <c r="G19" s="24" t="str">
        <f>IFERROR(__xludf.DUMMYFUNCTION("""COMPUTED_VALUE"""),"")</f>
        <v/>
      </c>
      <c r="H19" s="24"/>
      <c r="I19" s="24"/>
      <c r="J19" s="24"/>
      <c r="K19" s="24"/>
      <c r="L19" s="24"/>
    </row>
    <row r="20" ht="21.0" customHeight="1">
      <c r="A20" s="24" t="str">
        <f>IFERROR(__xludf.DUMMYFUNCTION("""COMPUTED_VALUE"""),"Gardenia's Fire")</f>
        <v>Gardenia's Fire</v>
      </c>
      <c r="B20" s="24" t="str">
        <f>IFERROR(__xludf.DUMMYFUNCTION("""COMPUTED_VALUE"""),"Begin outreach and schedule tastings")</f>
        <v>Begin outreach and schedule tastings</v>
      </c>
      <c r="C20" s="24" t="str">
        <f>IFERROR(__xludf.DUMMYFUNCTION("""COMPUTED_VALUE"""),"Emmanuel")</f>
        <v>Emmanuel</v>
      </c>
      <c r="D20" s="25">
        <f>IFERROR(__xludf.DUMMYFUNCTION("""COMPUTED_VALUE"""),46269.0)</f>
        <v>46269</v>
      </c>
      <c r="E20" s="24" t="str">
        <f>IFERROR(__xludf.DUMMYFUNCTION("""COMPUTED_VALUE"""),"Open")</f>
        <v>Open</v>
      </c>
      <c r="F20" s="24" t="str">
        <f>IFERROR(__xludf.DUMMYFUNCTION("""COMPUTED_VALUE"""),"Create tastings / standing-account conversations")</f>
        <v>Create tastings / standing-account conversations</v>
      </c>
      <c r="G20" s="24" t="str">
        <f>IFERROR(__xludf.DUMMYFUNCTION("""COMPUTED_VALUE"""),"")</f>
        <v/>
      </c>
      <c r="H20" s="24"/>
      <c r="I20" s="24"/>
      <c r="J20" s="24"/>
      <c r="K20" s="24"/>
      <c r="L20" s="24"/>
    </row>
    <row r="21" ht="21.0" customHeight="1">
      <c r="A21" s="24" t="str">
        <f>IFERROR(__xludf.DUMMYFUNCTION("""COMPUTED_VALUE"""),"Edible Operations")</f>
        <v>Edible Operations</v>
      </c>
      <c r="B21" s="24" t="str">
        <f>IFERROR(__xludf.DUMMYFUNCTION("""COMPUTED_VALUE"""),"Execute labor schedule correction and verify effect")</f>
        <v>Execute labor schedule correction and verify effect</v>
      </c>
      <c r="C21" s="24" t="str">
        <f>IFERROR(__xludf.DUMMYFUNCTION("""COMPUTED_VALUE"""),"Emmanuel")</f>
        <v>Emmanuel</v>
      </c>
      <c r="D21" s="25">
        <f>IFERROR(__xludf.DUMMYFUNCTION("""COMPUTED_VALUE"""),46267.0)</f>
        <v>46267</v>
      </c>
      <c r="E21" s="24" t="str">
        <f>IFERROR(__xludf.DUMMYFUNCTION("""COMPUTED_VALUE"""),"In Progress")</f>
        <v>In Progress</v>
      </c>
      <c r="F21" s="24" t="str">
        <f>IFERROR(__xludf.DUMMYFUNCTION("""COMPUTED_VALUE"""),"Bring labor productivity toward target")</f>
        <v>Bring labor productivity toward target</v>
      </c>
      <c r="G21" s="24" t="str">
        <f>IFERROR(__xludf.DUMMYFUNCTION("""COMPUTED_VALUE""")," • ESCALATE")</f>
        <v> • ESCALATE</v>
      </c>
      <c r="H21" s="24"/>
      <c r="I21" s="24"/>
      <c r="J21" s="24"/>
      <c r="K21" s="24"/>
      <c r="L21" s="24"/>
    </row>
    <row r="22" ht="21.0" customHeight="1">
      <c r="A22" s="24" t="str">
        <f>IFERROR(__xludf.DUMMYFUNCTION("""COMPUTED_VALUE"""),"Finance &amp; Office")</f>
        <v>Finance &amp; Office</v>
      </c>
      <c r="B22" s="24" t="str">
        <f>IFERROR(__xludf.DUMMYFUNCTION("""COMPUTED_VALUE"""),"Confirm books/reconciliations/evidence current for weekly close")</f>
        <v>Confirm books/reconciliations/evidence current for weekly close</v>
      </c>
      <c r="C22" s="24" t="str">
        <f>IFERROR(__xludf.DUMMYFUNCTION("""COMPUTED_VALUE"""),"Moises")</f>
        <v>Moises</v>
      </c>
      <c r="D22" s="25">
        <f>IFERROR(__xludf.DUMMYFUNCTION("""COMPUTED_VALUE"""),46269.0)</f>
        <v>46269</v>
      </c>
      <c r="E22" s="24" t="str">
        <f>IFERROR(__xludf.DUMMYFUNCTION("""COMPUTED_VALUE"""),"Open")</f>
        <v>Open</v>
      </c>
      <c r="F22" s="24" t="str">
        <f>IFERROR(__xludf.DUMMYFUNCTION("""COMPUTED_VALUE"""),"Reliable finance close / no silent issue")</f>
        <v>Reliable finance close / no silent issue</v>
      </c>
      <c r="G22" s="24" t="str">
        <f>IFERROR(__xludf.DUMMYFUNCTION("""COMPUTED_VALUE""")," • ESCALATE")</f>
        <v> • ESCALATE</v>
      </c>
      <c r="H22" s="24"/>
      <c r="I22" s="24"/>
      <c r="J22" s="24"/>
      <c r="K22" s="24"/>
      <c r="L22" s="24"/>
    </row>
    <row r="23" ht="21.0" customHeight="1">
      <c r="A23" s="24" t="str">
        <f>IFERROR(__xludf.DUMMYFUNCTION("""COMPUTED_VALUE"""),"My Work")</f>
        <v>My Work</v>
      </c>
      <c r="B23" s="24" t="str">
        <f>IFERROR(__xludf.DUMMYFUNCTION("""COMPUTED_VALUE"""),"xfgnxfm")</f>
        <v>xfgnxfm</v>
      </c>
      <c r="C23" s="24" t="str">
        <f>IFERROR(__xludf.DUMMYFUNCTION("""COMPUTED_VALUE"""),"xfmfhm")</f>
        <v>xfmfhm</v>
      </c>
      <c r="D23" s="25" t="str">
        <f>IFERROR(__xludf.DUMMYFUNCTION("""COMPUTED_VALUE"""),"xmh")</f>
        <v>xmh</v>
      </c>
      <c r="E23" s="24" t="str">
        <f>IFERROR(__xludf.DUMMYFUNCTION("""COMPUTED_VALUE"""),"Open")</f>
        <v>Open</v>
      </c>
      <c r="F23" s="24" t="str">
        <f>IFERROR(__xludf.DUMMYFUNCTION("""COMPUTED_VALUE"""),"xfmhxfhm")</f>
        <v>xfmhxfhm</v>
      </c>
      <c r="G23" s="24" t="str">
        <f>IFERROR(__xludf.DUMMYFUNCTION("""COMPUTED_VALUE"""),"")</f>
        <v/>
      </c>
      <c r="H23" s="24"/>
      <c r="I23" s="24"/>
      <c r="J23" s="24"/>
      <c r="K23" s="24"/>
      <c r="L23" s="24"/>
    </row>
    <row r="24" ht="21.0" customHeight="1">
      <c r="A24" s="24"/>
      <c r="B24" s="24"/>
      <c r="C24" s="24"/>
      <c r="D24" s="25"/>
      <c r="E24" s="24"/>
      <c r="F24" s="24"/>
      <c r="G24" s="24"/>
      <c r="H24" s="24"/>
      <c r="I24" s="24"/>
      <c r="J24" s="24"/>
      <c r="K24" s="24"/>
      <c r="L24" s="24"/>
    </row>
    <row r="25" ht="21.0" customHeight="1">
      <c r="A25" s="24"/>
      <c r="B25" s="24"/>
      <c r="C25" s="24"/>
      <c r="D25" s="25"/>
      <c r="E25" s="24"/>
      <c r="F25" s="24"/>
      <c r="G25" s="24"/>
      <c r="H25" s="24"/>
      <c r="I25" s="24"/>
      <c r="J25" s="24"/>
      <c r="K25" s="24"/>
      <c r="L25" s="24"/>
    </row>
    <row r="26" ht="21.0" customHeight="1">
      <c r="A26" s="24"/>
      <c r="B26" s="24"/>
      <c r="C26" s="24"/>
      <c r="D26" s="25"/>
      <c r="E26" s="24"/>
      <c r="F26" s="24"/>
      <c r="G26" s="24"/>
      <c r="H26" s="24"/>
      <c r="I26" s="24"/>
      <c r="J26" s="24"/>
      <c r="K26" s="24"/>
      <c r="L26" s="24"/>
    </row>
    <row r="27" ht="21.0" customHeight="1">
      <c r="D27" s="26"/>
    </row>
    <row r="28" ht="21.0" customHeight="1"/>
    <row r="29" ht="21.0" customHeight="1">
      <c r="A29" s="27" t="s">
        <v>82</v>
      </c>
    </row>
    <row r="30" ht="21.0" customHeight="1">
      <c r="A30" s="28" t="s">
        <v>83</v>
      </c>
      <c r="B30" s="28" t="s">
        <v>84</v>
      </c>
      <c r="C30" s="28" t="s">
        <v>69</v>
      </c>
      <c r="D30" s="28" t="s">
        <v>85</v>
      </c>
      <c r="E30" s="28" t="s">
        <v>86</v>
      </c>
      <c r="F30" s="28" t="s">
        <v>87</v>
      </c>
      <c r="G30" s="28" t="s">
        <v>71</v>
      </c>
      <c r="H30" s="28"/>
      <c r="I30" s="28"/>
      <c r="J30" s="28"/>
      <c r="K30" s="28"/>
      <c r="L30" s="28"/>
    </row>
    <row r="31" ht="21.0" customHeight="1">
      <c r="A31" s="29" t="str">
        <f>IFERROR(__xludf.DUMMYFUNCTION("IFERROR(FILTER(HSTACK('02_PROJECTS_FUNCTIONS'!A2:A120,'02_PROJECTS_FUNCTIONS'!C2:C120,'02_PROJECTS_FUNCTIONS'!D2:D120,'02_PROJECTS_FUNCTIONS'!E2:E120,'02_PROJECTS_FUNCTIONS'!F2:F120,'02_PROJECTS_FUNCTIONS'!H2:H120,'02_PROJECTS_FUNCTIONS'!J2:J120),'02_PROJ"&amp;"ECTS_FUNCTIONS'!A2:A120&lt;&gt;""""),"""")"),"Edible Operations")</f>
        <v>Edible Operations</v>
      </c>
      <c r="B31" s="29" t="str">
        <f>IFERROR(__xludf.DUMMYFUNCTION("""COMPUTED_VALUE"""),"MAINTAIN")</f>
        <v>MAINTAIN</v>
      </c>
      <c r="C31" s="29" t="str">
        <f>IFERROR(__xludf.DUMMYFUNCTION("""COMPUTED_VALUE"""),"Emmanuel")</f>
        <v>Emmanuel</v>
      </c>
      <c r="D31" s="29" t="str">
        <f>IFERROR(__xludf.DUMMYFUNCTION("""COMPUTED_VALUE"""),"Keep store stable while correcting sales/labor/service economics")</f>
        <v>Keep store stable while correcting sales/labor/service economics</v>
      </c>
      <c r="E31" s="29" t="str">
        <f>IFERROR(__xludf.DUMMYFUNCTION("""COMPUTED_VALUE"""),"Correct current sales/labor trend")</f>
        <v>Correct current sales/labor trend</v>
      </c>
      <c r="F31" s="29" t="str">
        <f>IFERROR(__xludf.DUMMYFUNCTION("""COMPUTED_VALUE"""),"Verify schedule/lead behavior effect")</f>
        <v>Verify schedule/lead behavior effect</v>
      </c>
      <c r="G31" s="29" t="str">
        <f>IFERROR(__xludf.DUMMYFUNCTION("""COMPUTED_VALUE"""),"Active")</f>
        <v>Active</v>
      </c>
      <c r="H31" s="29"/>
      <c r="I31" s="29"/>
      <c r="J31" s="29"/>
      <c r="K31" s="29"/>
      <c r="L31" s="29"/>
    </row>
    <row r="32" ht="21.0" customHeight="1">
      <c r="A32" s="29" t="str">
        <f>IFERROR(__xludf.DUMMYFUNCTION("""COMPUTED_VALUE"""),"Gardenia's Fire")</f>
        <v>Gardenia's Fire</v>
      </c>
      <c r="B32" s="29" t="str">
        <f>IFERROR(__xludf.DUMMYFUNCTION("""COMPUTED_VALUE"""),"PUSH")</f>
        <v>PUSH</v>
      </c>
      <c r="C32" s="29" t="str">
        <f>IFERROR(__xludf.DUMMYFUNCTION("""COMPUTED_VALUE"""),"Emmanuel")</f>
        <v>Emmanuel</v>
      </c>
      <c r="D32" s="29" t="str">
        <f>IFERROR(__xludf.DUMMYFUNCTION("""COMPUTED_VALUE"""),"Prove offer and create repeatable local corporate standing-order sales")</f>
        <v>Prove offer and create repeatable local corporate standing-order sales</v>
      </c>
      <c r="E32" s="29" t="str">
        <f>IFERROR(__xludf.DUMMYFUNCTION("""COMPUTED_VALUE"""),"Product proof + outreach/tastings")</f>
        <v>Product proof + outreach/tastings</v>
      </c>
      <c r="F32" s="29" t="str">
        <f>IFERROR(__xludf.DUMMYFUNCTION("""COMPUTED_VALUE"""),"Finalize costing, target list, outreach, tastings")</f>
        <v>Finalize costing, target list, outreach, tastings</v>
      </c>
      <c r="G32" s="29" t="str">
        <f>IFERROR(__xludf.DUMMYFUNCTION("""COMPUTED_VALUE"""),"Active")</f>
        <v>Active</v>
      </c>
      <c r="H32" s="29"/>
      <c r="I32" s="29"/>
      <c r="J32" s="29"/>
      <c r="K32" s="29"/>
      <c r="L32" s="29"/>
    </row>
    <row r="33" ht="21.0" customHeight="1">
      <c r="A33" s="29" t="str">
        <f>IFERROR(__xludf.DUMMYFUNCTION("""COMPUTED_VALUE"""),"Finance &amp; Office")</f>
        <v>Finance &amp; Office</v>
      </c>
      <c r="B33" s="29" t="str">
        <f>IFERROR(__xludf.DUMMYFUNCTION("""COMPUTED_VALUE"""),"PUSH")</f>
        <v>PUSH</v>
      </c>
      <c r="C33" s="29" t="str">
        <f>IFERROR(__xludf.DUMMYFUNCTION("""COMPUTED_VALUE"""),"Moises")</f>
        <v>Moises</v>
      </c>
      <c r="D33" s="29" t="str">
        <f>IFERROR(__xludf.DUMMYFUNCTION("""COMPUTED_VALUE"""),"Keep books, cash, obligations, evidence, and office controls current")</f>
        <v>Keep books, cash, obligations, evidence, and office controls current</v>
      </c>
      <c r="E33" s="29" t="str">
        <f>IFERROR(__xludf.DUMMYFUNCTION("""COMPUTED_VALUE"""),"Reliable weekly close / exceptions")</f>
        <v>Reliable weekly close / exceptions</v>
      </c>
      <c r="F33" s="29" t="str">
        <f>IFERROR(__xludf.DUMMYFUNCTION("""COMPUTED_VALUE"""),"Establish clean weekly close with evidence")</f>
        <v>Establish clean weekly close with evidence</v>
      </c>
      <c r="G33" s="29" t="str">
        <f>IFERROR(__xludf.DUMMYFUNCTION("""COMPUTED_VALUE"""),"Active")</f>
        <v>Active</v>
      </c>
      <c r="H33" s="29"/>
      <c r="I33" s="29"/>
      <c r="J33" s="29"/>
      <c r="K33" s="29"/>
      <c r="L33" s="29"/>
    </row>
    <row r="34" ht="21.0" customHeight="1">
      <c r="A34" s="29" t="str">
        <f>IFERROR(__xludf.DUMMYFUNCTION("""COMPUTED_VALUE"""),"Podcast / Legacy")</f>
        <v>Podcast / Legacy</v>
      </c>
      <c r="B34" s="29" t="str">
        <f>IFERROR(__xludf.DUMMYFUNCTION("""COMPUTED_VALUE"""),"PUSH")</f>
        <v>PUSH</v>
      </c>
      <c r="C34" s="29" t="str">
        <f>IFERROR(__xludf.DUMMYFUNCTION("""COMPUTED_VALUE"""),"Ahmad")</f>
        <v>Ahmad</v>
      </c>
      <c r="D34" s="29" t="str">
        <f>IFERROR(__xludf.DUMMYFUNCTION("""COMPUTED_VALUE"""),"Create and publish meaningful podcast/video work while retaining legacy material")</f>
        <v>Create and publish meaningful podcast/video work while retaining legacy material</v>
      </c>
      <c r="E34" s="29" t="str">
        <f>IFERROR(__xludf.DUMMYFUNCTION("""COMPUTED_VALUE"""),"Current episode/video progression")</f>
        <v>Current episode/video progression</v>
      </c>
      <c r="F34" s="29" t="str">
        <f>IFERROR(__xludf.DUMMYFUNCTION("""COMPUTED_VALUE"""),"Move next video/episode to executable step")</f>
        <v>Move next video/episode to executable step</v>
      </c>
      <c r="G34" s="29" t="str">
        <f>IFERROR(__xludf.DUMMYFUNCTION("""COMPUTED_VALUE"""),"Active")</f>
        <v>Active</v>
      </c>
      <c r="H34" s="29"/>
      <c r="I34" s="29"/>
      <c r="J34" s="29"/>
      <c r="K34" s="29"/>
      <c r="L34" s="29"/>
    </row>
    <row r="35" ht="21.0" customHeight="1">
      <c r="A35" s="29" t="str">
        <f>IFERROR(__xludf.DUMMYFUNCTION("""COMPUTED_VALUE"""),"People / Systems")</f>
        <v>People / Systems</v>
      </c>
      <c r="B35" s="29" t="str">
        <f>IFERROR(__xludf.DUMMYFUNCTION("""COMPUTED_VALUE"""),"MAINTAIN")</f>
        <v>MAINTAIN</v>
      </c>
      <c r="C35" s="29" t="str">
        <f>IFERROR(__xludf.DUMMYFUNCTION("""COMPUTED_VALUE"""),"Emmanuel")</f>
        <v>Emmanuel</v>
      </c>
      <c r="D35" s="29" t="str">
        <f>IFERROR(__xludf.DUMMYFUNCTION("""COMPUTED_VALUE"""),"Clear ownership, capacity, follow-through, and system improvement")</f>
        <v>Clear ownership, capacity, follow-through, and system improvement</v>
      </c>
      <c r="E35" s="29" t="str">
        <f>IFERROR(__xludf.DUMMYFUNCTION("""COMPUTED_VALUE"""),"Monday-ready operating rhythm")</f>
        <v>Monday-ready operating rhythm</v>
      </c>
      <c r="F35" s="29" t="str">
        <f>IFERROR(__xludf.DUMMYFUNCTION("""COMPUTED_VALUE"""),"Operate Phase 1 and remove duplicate reporting")</f>
        <v>Operate Phase 1 and remove duplicate reporting</v>
      </c>
      <c r="G35" s="29" t="str">
        <f>IFERROR(__xludf.DUMMYFUNCTION("""COMPUTED_VALUE"""),"Active")</f>
        <v>Active</v>
      </c>
      <c r="H35" s="29"/>
      <c r="I35" s="29"/>
      <c r="J35" s="29"/>
      <c r="K35" s="29"/>
      <c r="L35" s="29"/>
    </row>
    <row r="36" ht="21.0" customHeight="1">
      <c r="A36" s="29" t="str">
        <f>IFERROR(__xludf.DUMMYFUNCTION("""COMPUTED_VALUE"""),"Iron Marks / Iron March")</f>
        <v>Iron Marks / Iron March</v>
      </c>
      <c r="B36" s="29" t="str">
        <f>IFERROR(__xludf.DUMMYFUNCTION("""COMPUTED_VALUE"""),"PARK")</f>
        <v>PARK</v>
      </c>
      <c r="C36" s="29" t="str">
        <f>IFERROR(__xludf.DUMMYFUNCTION("""COMPUTED_VALUE"""),"TBD")</f>
        <v>TBD</v>
      </c>
      <c r="D36" s="29" t="str">
        <f>IFERROR(__xludf.DUMMYFUNCTION("""COMPUTED_VALUE"""),"Keep visible without stealing capacity until intentionally activated")</f>
        <v>Keep visible without stealing capacity until intentionally activated</v>
      </c>
      <c r="E36" s="29" t="str">
        <f>IFERROR(__xludf.DUMMYFUNCTION("""COMPUTED_VALUE"""),"Define offer/owner/test/capacity before PUSH")</f>
        <v>Define offer/owner/test/capacity before PUSH</v>
      </c>
      <c r="F36" s="29" t="str">
        <f>IFERROR(__xludf.DUMMYFUNCTION("""COMPUTED_VALUE"""),"Remain parked until activation decision")</f>
        <v>Remain parked until activation decision</v>
      </c>
      <c r="G36" s="29" t="str">
        <f>IFERROR(__xludf.DUMMYFUNCTION("""COMPUTED_VALUE"""),"Parked")</f>
        <v>Parked</v>
      </c>
      <c r="H36" s="29"/>
      <c r="I36" s="29"/>
      <c r="J36" s="29"/>
      <c r="K36" s="29"/>
      <c r="L36" s="29"/>
    </row>
    <row r="37" ht="21.0" customHeight="1">
      <c r="A37" s="29" t="str">
        <f>IFERROR(__xludf.DUMMYFUNCTION("""COMPUTED_VALUE"""),"Ahmad Personal Finance / Life")</f>
        <v>Ahmad Personal Finance / Life</v>
      </c>
      <c r="B37" s="29" t="str">
        <f>IFERROR(__xludf.DUMMYFUNCTION("""COMPUTED_VALUE"""),"PUSH")</f>
        <v>PUSH</v>
      </c>
      <c r="C37" s="29" t="str">
        <f>IFERROR(__xludf.DUMMYFUNCTION("""COMPUTED_VALUE"""),"Ahmad / Moises / Emmanuel")</f>
        <v>Ahmad / Moises / Emmanuel</v>
      </c>
      <c r="D37" s="29" t="str">
        <f>IFERROR(__xludf.DUMMYFUNCTION("""COMPUTED_VALUE"""),"Protect personal stability: money in/out, obligations, credit, personal admin, decisions")</f>
        <v>Protect personal stability: money in/out, obligations, credit, personal admin, decisions</v>
      </c>
      <c r="E37" s="29" t="str">
        <f>IFERROR(__xludf.DUMMYFUNCTION("""COMPUTED_VALUE"""),"Basic visibility + recurring control")</f>
        <v>Basic visibility + recurring control</v>
      </c>
      <c r="F37" s="29" t="str">
        <f>IFERROR(__xludf.DUMMYFUNCTION("""COMPUTED_VALUE"""),"Moises maintains back-end; Emmanuel coordinates completeness/exceptions; Ahmad decides")</f>
        <v>Moises maintains back-end; Emmanuel coordinates completeness/exceptions; Ahmad decides</v>
      </c>
      <c r="G37" s="29" t="str">
        <f>IFERROR(__xludf.DUMMYFUNCTION("""COMPUTED_VALUE"""),"Build")</f>
        <v>Build</v>
      </c>
      <c r="H37" s="29"/>
      <c r="I37" s="29"/>
      <c r="J37" s="29"/>
      <c r="K37" s="29"/>
      <c r="L37" s="29"/>
    </row>
    <row r="38" ht="21.0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ht="21.0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ht="21.0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ht="21.0" customHeight="1"/>
    <row r="42" ht="21.0" customHeight="1"/>
    <row r="43" ht="21.0" customHeight="1">
      <c r="A43" s="27" t="s">
        <v>97</v>
      </c>
    </row>
    <row r="44" ht="21.0" customHeight="1"/>
    <row r="45" ht="21.0" customHeight="1">
      <c r="A45" s="31" t="str">
        <f>HYPERLINK("https://docs.google.com/spreadsheets/d/1_qBjYd0F4BYYTxLMJjEZbQynBdHH5JGe83-U7nheJOE/edit?usp=drivesdk","EDIBLE DETAIL\nDaily • weekly • month close")</f>
        <v>EDIBLE DETAIL\nDaily • weekly • month close</v>
      </c>
      <c r="B45" s="32"/>
      <c r="C45" s="33"/>
      <c r="D45" s="31" t="str">
        <f>HYPERLINK("https://docs.google.com/spreadsheets/d/1zrY3SOQiF2g8A_7z4ynA9mVnM7_qsvS8eBsebBRplmc/edit?usp=drivesdk","FINANCE DETAIL\nBooks • reconciliations • evidence")</f>
        <v>FINANCE DETAIL\nBooks • reconciliations • evidence</v>
      </c>
      <c r="E45" s="32"/>
      <c r="F45" s="33"/>
      <c r="G45" s="31" t="str">
        <f>HYPERLINK("https://drive.google.com/drive/folders/1-CWhZsNUR2dnbbCLLOInkSOOHtFU_utm","GARDENIA'S FILES\nPlan • products • target lists")</f>
        <v>GARDENIA'S FILES\nPlan • products • target lists</v>
      </c>
      <c r="H45" s="32"/>
      <c r="I45" s="33"/>
      <c r="J45" s="31" t="str">
        <f>HYPERLINK("https://docs.google.com/presentation/d/1Va2UIkSWL0s5wOi7MNcl7xbQONg7kE3dKpRRxlfgBCk/edit?usp=drivesdk","v3 BOARD\nPresentation reference")</f>
        <v>v3 BOARD\nPresentation reference</v>
      </c>
      <c r="K45" s="32"/>
      <c r="L45" s="33"/>
    </row>
    <row r="46" ht="21.0" customHeight="1">
      <c r="A46" s="36"/>
      <c r="C46" s="37"/>
      <c r="D46" s="36"/>
      <c r="F46" s="37"/>
      <c r="G46" s="36"/>
      <c r="I46" s="37"/>
      <c r="J46" s="36"/>
      <c r="L46" s="37"/>
    </row>
    <row r="47" ht="21.0" customHeight="1">
      <c r="A47" s="38"/>
      <c r="B47" s="39"/>
      <c r="C47" s="40"/>
      <c r="D47" s="38"/>
      <c r="E47" s="39"/>
      <c r="F47" s="40"/>
      <c r="G47" s="38"/>
      <c r="H47" s="39"/>
      <c r="I47" s="40"/>
      <c r="J47" s="38"/>
      <c r="K47" s="39"/>
      <c r="L47" s="40"/>
    </row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</sheetData>
  <mergeCells count="20">
    <mergeCell ref="C5:D6"/>
    <mergeCell ref="A8:E8"/>
    <mergeCell ref="A10:B12"/>
    <mergeCell ref="C10:D12"/>
    <mergeCell ref="E10:E12"/>
    <mergeCell ref="F8:L8"/>
    <mergeCell ref="A16:L16"/>
    <mergeCell ref="A29:L29"/>
    <mergeCell ref="A43:L43"/>
    <mergeCell ref="A45:C47"/>
    <mergeCell ref="D45:F47"/>
    <mergeCell ref="G45:I47"/>
    <mergeCell ref="J45:L47"/>
    <mergeCell ref="A1:L2"/>
    <mergeCell ref="A3:L3"/>
    <mergeCell ref="A5:B6"/>
    <mergeCell ref="E5:F6"/>
    <mergeCell ref="G5:H6"/>
    <mergeCell ref="I5:J6"/>
    <mergeCell ref="K5:L6"/>
  </mergeCells>
  <conditionalFormatting sqref="B13:B15 B17:B18">
    <cfRule type="cellIs" dxfId="0" priority="1" stopIfTrue="1" operator="equal">
      <formula>"PUSH"</formula>
    </cfRule>
  </conditionalFormatting>
  <conditionalFormatting sqref="B13:B15 B17:B18">
    <cfRule type="cellIs" dxfId="1" priority="2" stopIfTrue="1" operator="equal">
      <formula>"PARK"</formula>
    </cfRule>
  </conditionalFormatting>
  <conditionalFormatting sqref="F22:F28 F30:F39 F44 F48:F60">
    <cfRule type="cellIs" dxfId="2" priority="3" stopIfTrue="1" operator="equal">
      <formula>"Blocked"</formula>
    </cfRule>
  </conditionalFormatting>
  <conditionalFormatting sqref="F22:F28 F30:F39 F44 F48:F60">
    <cfRule type="cellIs" dxfId="3" priority="4" stopIfTrue="1" operator="equal">
      <formula>"Waiting"</formula>
    </cfRule>
  </conditionalFormatting>
  <conditionalFormatting sqref="H22:H28 H30:H39 H44 H48:H60">
    <cfRule type="cellIs" dxfId="2" priority="5" stopIfTrue="1" operator="equal">
      <formula>"Yes"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204</v>
      </c>
      <c r="B1" s="1" t="s">
        <v>4</v>
      </c>
      <c r="C1" s="1" t="s">
        <v>23</v>
      </c>
      <c r="D1" s="1" t="s">
        <v>205</v>
      </c>
      <c r="E1" s="1" t="s">
        <v>10</v>
      </c>
      <c r="F1" s="1" t="s">
        <v>206</v>
      </c>
      <c r="G1" s="1" t="s">
        <v>12</v>
      </c>
      <c r="H1" s="1" t="s">
        <v>207</v>
      </c>
      <c r="I1" s="1" t="s">
        <v>208</v>
      </c>
      <c r="J1" s="1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32</v>
      </c>
      <c r="J1" s="1" t="s">
        <v>33</v>
      </c>
      <c r="K1" s="1" t="s">
        <v>34</v>
      </c>
      <c r="L1" s="1" t="s">
        <v>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74</v>
      </c>
      <c r="B1" s="1" t="s">
        <v>75</v>
      </c>
      <c r="C1" s="1" t="s">
        <v>4</v>
      </c>
      <c r="D1" s="1" t="s">
        <v>76</v>
      </c>
      <c r="E1" s="1" t="s">
        <v>77</v>
      </c>
      <c r="F1" s="1" t="s">
        <v>78</v>
      </c>
      <c r="G1" s="1" t="s">
        <v>10</v>
      </c>
      <c r="H1" s="1" t="s">
        <v>79</v>
      </c>
      <c r="I1" s="1" t="s">
        <v>12</v>
      </c>
      <c r="J1" s="1" t="s">
        <v>11</v>
      </c>
      <c r="K1" s="1" t="s">
        <v>80</v>
      </c>
      <c r="L1" s="1" t="s">
        <v>81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4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12</v>
      </c>
      <c r="J1" s="1" t="s">
        <v>95</v>
      </c>
    </row>
    <row r="2">
      <c r="A2" s="30" t="s">
        <v>96</v>
      </c>
      <c r="B2" s="30" t="s">
        <v>98</v>
      </c>
      <c r="C2" s="30" t="s">
        <v>99</v>
      </c>
      <c r="D2" s="30" t="s">
        <v>100</v>
      </c>
      <c r="E2" s="30" t="s">
        <v>101</v>
      </c>
      <c r="F2" s="34" t="s">
        <v>102</v>
      </c>
      <c r="G2" s="30" t="s">
        <v>103</v>
      </c>
      <c r="H2" s="30" t="s">
        <v>104</v>
      </c>
      <c r="I2" s="30" t="s">
        <v>105</v>
      </c>
      <c r="J2" s="35" t="s">
        <v>106</v>
      </c>
    </row>
    <row r="3">
      <c r="A3" s="30" t="s">
        <v>107</v>
      </c>
      <c r="B3" s="30" t="s">
        <v>108</v>
      </c>
      <c r="C3" s="30" t="s">
        <v>109</v>
      </c>
      <c r="D3" s="30" t="s">
        <v>110</v>
      </c>
      <c r="E3" s="30" t="s">
        <v>111</v>
      </c>
      <c r="F3" s="34" t="s">
        <v>112</v>
      </c>
      <c r="G3" s="30" t="s">
        <v>113</v>
      </c>
      <c r="H3" s="30" t="s">
        <v>114</v>
      </c>
      <c r="I3" s="30" t="s">
        <v>115</v>
      </c>
      <c r="J3" s="35" t="s">
        <v>106</v>
      </c>
    </row>
    <row r="4">
      <c r="A4" s="30" t="s">
        <v>107</v>
      </c>
      <c r="B4" s="30" t="s">
        <v>116</v>
      </c>
      <c r="C4" s="30" t="s">
        <v>109</v>
      </c>
      <c r="D4" s="30" t="s">
        <v>117</v>
      </c>
      <c r="E4" s="30" t="s">
        <v>118</v>
      </c>
      <c r="F4" s="30" t="s">
        <v>119</v>
      </c>
      <c r="G4" s="30" t="s">
        <v>120</v>
      </c>
      <c r="H4" s="30" t="s">
        <v>121</v>
      </c>
      <c r="I4" s="30" t="s">
        <v>122</v>
      </c>
      <c r="J4" s="35" t="s">
        <v>106</v>
      </c>
    </row>
    <row r="5">
      <c r="A5" s="30" t="s">
        <v>123</v>
      </c>
      <c r="B5" s="30" t="s">
        <v>124</v>
      </c>
      <c r="C5" s="30" t="s">
        <v>125</v>
      </c>
      <c r="D5" s="30" t="s">
        <v>126</v>
      </c>
      <c r="E5" s="30" t="s">
        <v>127</v>
      </c>
      <c r="F5" s="34" t="s">
        <v>128</v>
      </c>
      <c r="G5" s="30" t="s">
        <v>129</v>
      </c>
      <c r="H5" s="30" t="s">
        <v>130</v>
      </c>
      <c r="I5" s="30" t="s">
        <v>131</v>
      </c>
      <c r="J5" s="35" t="s">
        <v>106</v>
      </c>
    </row>
    <row r="6">
      <c r="A6" s="30" t="s">
        <v>123</v>
      </c>
      <c r="B6" s="30" t="s">
        <v>132</v>
      </c>
      <c r="C6" s="30" t="s">
        <v>133</v>
      </c>
      <c r="D6" s="30" t="s">
        <v>134</v>
      </c>
      <c r="E6" s="30" t="s">
        <v>111</v>
      </c>
      <c r="F6" s="34" t="s">
        <v>135</v>
      </c>
      <c r="G6" s="30" t="s">
        <v>136</v>
      </c>
      <c r="H6" s="30" t="s">
        <v>137</v>
      </c>
      <c r="I6" s="30" t="s">
        <v>138</v>
      </c>
      <c r="J6" s="35" t="s">
        <v>106</v>
      </c>
    </row>
    <row r="7">
      <c r="A7" s="30" t="s">
        <v>123</v>
      </c>
      <c r="B7" s="30" t="s">
        <v>139</v>
      </c>
      <c r="C7" s="30" t="s">
        <v>140</v>
      </c>
      <c r="D7" s="30" t="s">
        <v>141</v>
      </c>
      <c r="E7" s="30" t="s">
        <v>111</v>
      </c>
      <c r="F7" s="30" t="s">
        <v>142</v>
      </c>
      <c r="G7" s="30" t="s">
        <v>143</v>
      </c>
      <c r="H7" s="30" t="s">
        <v>144</v>
      </c>
      <c r="I7" s="30" t="s">
        <v>145</v>
      </c>
      <c r="J7" s="35" t="s">
        <v>106</v>
      </c>
    </row>
    <row r="8">
      <c r="A8" s="30" t="s">
        <v>146</v>
      </c>
      <c r="B8" s="30" t="s">
        <v>147</v>
      </c>
      <c r="C8" s="30" t="s">
        <v>99</v>
      </c>
      <c r="D8" s="30" t="s">
        <v>148</v>
      </c>
      <c r="E8" s="30" t="s">
        <v>149</v>
      </c>
      <c r="F8" s="30" t="s">
        <v>150</v>
      </c>
      <c r="G8" s="30" t="s">
        <v>151</v>
      </c>
      <c r="H8" s="30" t="s">
        <v>152</v>
      </c>
      <c r="I8" s="30" t="s">
        <v>153</v>
      </c>
      <c r="J8" s="35" t="s">
        <v>106</v>
      </c>
    </row>
    <row r="9">
      <c r="A9" s="30" t="s">
        <v>146</v>
      </c>
      <c r="B9" s="30" t="s">
        <v>154</v>
      </c>
      <c r="C9" s="30" t="s">
        <v>155</v>
      </c>
      <c r="D9" s="30" t="s">
        <v>156</v>
      </c>
      <c r="E9" s="30" t="s">
        <v>157</v>
      </c>
      <c r="F9" s="30" t="s">
        <v>158</v>
      </c>
      <c r="G9" s="30" t="s">
        <v>159</v>
      </c>
      <c r="H9" s="30" t="s">
        <v>160</v>
      </c>
      <c r="I9" s="30" t="s">
        <v>161</v>
      </c>
      <c r="J9" s="35" t="s">
        <v>162</v>
      </c>
    </row>
    <row r="10">
      <c r="A10" s="30" t="s">
        <v>146</v>
      </c>
      <c r="B10" s="30" t="s">
        <v>163</v>
      </c>
      <c r="C10" s="30" t="s">
        <v>140</v>
      </c>
      <c r="D10" s="30" t="s">
        <v>164</v>
      </c>
      <c r="E10" s="30" t="s">
        <v>157</v>
      </c>
      <c r="F10" s="30" t="s">
        <v>165</v>
      </c>
      <c r="G10" s="30" t="s">
        <v>166</v>
      </c>
      <c r="H10" s="30" t="s">
        <v>160</v>
      </c>
      <c r="I10" s="30" t="s">
        <v>167</v>
      </c>
      <c r="J10" s="35" t="s">
        <v>106</v>
      </c>
    </row>
    <row r="11">
      <c r="A11" s="30" t="s">
        <v>168</v>
      </c>
      <c r="B11" s="30" t="s">
        <v>169</v>
      </c>
      <c r="C11" s="30" t="s">
        <v>170</v>
      </c>
      <c r="D11" s="30" t="s">
        <v>171</v>
      </c>
      <c r="E11" s="30" t="s">
        <v>172</v>
      </c>
      <c r="F11" s="30" t="s">
        <v>173</v>
      </c>
      <c r="G11" s="30" t="s">
        <v>174</v>
      </c>
      <c r="H11" s="30" t="s">
        <v>175</v>
      </c>
      <c r="I11" s="30" t="s">
        <v>176</v>
      </c>
      <c r="J11" s="35" t="s">
        <v>162</v>
      </c>
    </row>
    <row r="12">
      <c r="A12" s="30" t="s">
        <v>177</v>
      </c>
      <c r="B12" s="30" t="s">
        <v>178</v>
      </c>
      <c r="C12" s="30" t="s">
        <v>99</v>
      </c>
      <c r="D12" s="30" t="s">
        <v>179</v>
      </c>
      <c r="E12" s="30" t="s">
        <v>172</v>
      </c>
      <c r="F12" s="30" t="s">
        <v>180</v>
      </c>
      <c r="G12" s="30" t="s">
        <v>181</v>
      </c>
      <c r="H12" s="30" t="s">
        <v>175</v>
      </c>
      <c r="I12" s="30" t="s">
        <v>182</v>
      </c>
      <c r="J12" s="35" t="s">
        <v>106</v>
      </c>
    </row>
    <row r="13">
      <c r="A13" s="30" t="s">
        <v>183</v>
      </c>
      <c r="B13" s="30" t="s">
        <v>184</v>
      </c>
      <c r="C13" s="30" t="s">
        <v>185</v>
      </c>
      <c r="D13" s="30" t="s">
        <v>186</v>
      </c>
      <c r="E13" s="30" t="s">
        <v>187</v>
      </c>
      <c r="F13" s="30" t="s">
        <v>188</v>
      </c>
      <c r="G13" s="30" t="s">
        <v>189</v>
      </c>
      <c r="H13" s="30" t="s">
        <v>190</v>
      </c>
      <c r="I13" s="30" t="s">
        <v>191</v>
      </c>
      <c r="J13" s="35" t="s">
        <v>106</v>
      </c>
    </row>
    <row r="14">
      <c r="A14" s="30" t="s">
        <v>192</v>
      </c>
      <c r="B14" s="30" t="s">
        <v>193</v>
      </c>
      <c r="C14" s="30" t="s">
        <v>194</v>
      </c>
      <c r="D14" s="30" t="s">
        <v>195</v>
      </c>
      <c r="E14" s="30" t="s">
        <v>111</v>
      </c>
      <c r="F14" s="30" t="s">
        <v>196</v>
      </c>
      <c r="G14" s="30" t="s">
        <v>197</v>
      </c>
      <c r="H14" s="30" t="s">
        <v>198</v>
      </c>
      <c r="I14" s="30" t="s">
        <v>199</v>
      </c>
      <c r="J14" s="35" t="s">
        <v>106</v>
      </c>
    </row>
  </sheetData>
  <hyperlinks>
    <hyperlink r:id="rId1" ref="F2"/>
    <hyperlink r:id="rId2" ref="F3"/>
    <hyperlink r:id="rId3" ref="F5"/>
    <hyperlink r:id="rId4" ref="F6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4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10</v>
      </c>
      <c r="G1" s="1" t="s">
        <v>270</v>
      </c>
      <c r="H1" s="1" t="s">
        <v>271</v>
      </c>
      <c r="I1" s="1" t="s">
        <v>12</v>
      </c>
      <c r="J1" s="1" t="s">
        <v>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4</v>
      </c>
      <c r="B1" s="1" t="s">
        <v>200</v>
      </c>
      <c r="C1" s="1" t="s">
        <v>201</v>
      </c>
      <c r="D1" s="1" t="s">
        <v>202</v>
      </c>
      <c r="E1" s="1" t="s">
        <v>12</v>
      </c>
      <c r="F1" s="1" t="s">
        <v>203</v>
      </c>
      <c r="G1" s="1" t="s">
        <v>10</v>
      </c>
      <c r="H1" s="1" t="s">
        <v>11</v>
      </c>
      <c r="I1" s="1" t="s">
        <v>95</v>
      </c>
      <c r="J1" s="1" t="s">
        <v>35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209</v>
      </c>
      <c r="B1" s="1" t="s">
        <v>210</v>
      </c>
      <c r="C1" s="1" t="s">
        <v>211</v>
      </c>
      <c r="D1" s="1" t="s">
        <v>12</v>
      </c>
      <c r="E1" s="1" t="s">
        <v>212</v>
      </c>
      <c r="F1" s="1" t="s">
        <v>213</v>
      </c>
      <c r="G1" s="1" t="s">
        <v>214</v>
      </c>
      <c r="H1" s="1" t="s">
        <v>10</v>
      </c>
      <c r="I1" s="1" t="s">
        <v>208</v>
      </c>
      <c r="J1" s="1" t="s">
        <v>215</v>
      </c>
      <c r="K1" s="1" t="s">
        <v>35</v>
      </c>
    </row>
    <row r="2">
      <c r="A2" s="30" t="s">
        <v>216</v>
      </c>
      <c r="B2" s="30" t="s">
        <v>217</v>
      </c>
      <c r="C2" s="30" t="s">
        <v>218</v>
      </c>
      <c r="D2" s="30" t="s">
        <v>219</v>
      </c>
      <c r="E2" s="30">
        <v>121412.5</v>
      </c>
      <c r="F2" s="30" t="s">
        <v>220</v>
      </c>
      <c r="G2" s="30" t="s">
        <v>221</v>
      </c>
      <c r="H2" s="30" t="s">
        <v>109</v>
      </c>
      <c r="I2" s="30" t="s">
        <v>222</v>
      </c>
      <c r="J2" s="30" t="s">
        <v>223</v>
      </c>
      <c r="K2" s="30" t="s">
        <v>224</v>
      </c>
    </row>
    <row r="3">
      <c r="A3" s="30" t="s">
        <v>225</v>
      </c>
      <c r="B3" s="30" t="s">
        <v>217</v>
      </c>
      <c r="C3" s="30" t="s">
        <v>226</v>
      </c>
      <c r="D3" s="30" t="s">
        <v>219</v>
      </c>
      <c r="E3" s="30">
        <v>15243.55</v>
      </c>
      <c r="F3" s="30" t="s">
        <v>220</v>
      </c>
      <c r="G3" s="30" t="s">
        <v>221</v>
      </c>
      <c r="H3" s="30" t="s">
        <v>109</v>
      </c>
      <c r="I3" s="30" t="s">
        <v>222</v>
      </c>
      <c r="J3" s="30" t="s">
        <v>227</v>
      </c>
      <c r="K3" s="30" t="s">
        <v>228</v>
      </c>
    </row>
    <row r="4">
      <c r="A4" s="30" t="s">
        <v>229</v>
      </c>
      <c r="B4" s="30" t="s">
        <v>217</v>
      </c>
      <c r="C4" s="30" t="s">
        <v>230</v>
      </c>
      <c r="D4" s="30" t="s">
        <v>219</v>
      </c>
      <c r="E4" s="30">
        <v>1191.48</v>
      </c>
      <c r="F4" s="30" t="s">
        <v>231</v>
      </c>
      <c r="G4" s="30" t="s">
        <v>221</v>
      </c>
      <c r="H4" s="30" t="s">
        <v>109</v>
      </c>
      <c r="I4" s="30" t="s">
        <v>222</v>
      </c>
      <c r="J4" s="30" t="s">
        <v>232</v>
      </c>
      <c r="K4" s="30" t="s">
        <v>233</v>
      </c>
    </row>
    <row r="5">
      <c r="A5" s="30" t="s">
        <v>216</v>
      </c>
      <c r="B5" s="30" t="s">
        <v>234</v>
      </c>
      <c r="C5" s="30" t="s">
        <v>218</v>
      </c>
      <c r="D5" s="30" t="s">
        <v>219</v>
      </c>
      <c r="E5" s="30">
        <v>70959.1</v>
      </c>
      <c r="F5" s="30" t="s">
        <v>220</v>
      </c>
      <c r="G5" s="30" t="s">
        <v>221</v>
      </c>
      <c r="H5" s="30" t="s">
        <v>109</v>
      </c>
      <c r="I5" s="30" t="s">
        <v>235</v>
      </c>
      <c r="J5" s="30" t="s">
        <v>223</v>
      </c>
      <c r="K5" s="30" t="s">
        <v>228</v>
      </c>
    </row>
    <row r="6">
      <c r="A6" s="30" t="s">
        <v>216</v>
      </c>
      <c r="B6" s="30" t="s">
        <v>236</v>
      </c>
      <c r="C6" s="30" t="s">
        <v>237</v>
      </c>
      <c r="D6" s="30" t="s">
        <v>219</v>
      </c>
      <c r="E6" s="30">
        <v>371555.65</v>
      </c>
      <c r="F6" s="30" t="s">
        <v>220</v>
      </c>
      <c r="G6" s="30" t="s">
        <v>221</v>
      </c>
      <c r="H6" s="30" t="s">
        <v>109</v>
      </c>
      <c r="I6" s="30" t="s">
        <v>238</v>
      </c>
      <c r="J6" s="30" t="s">
        <v>239</v>
      </c>
      <c r="K6" s="30" t="s">
        <v>240</v>
      </c>
    </row>
    <row r="7">
      <c r="A7" s="30" t="s">
        <v>225</v>
      </c>
      <c r="B7" s="30" t="s">
        <v>241</v>
      </c>
      <c r="C7" s="30" t="s">
        <v>242</v>
      </c>
      <c r="D7" s="30" t="s">
        <v>219</v>
      </c>
      <c r="E7" s="30">
        <v>33664.79</v>
      </c>
      <c r="F7" s="30" t="s">
        <v>220</v>
      </c>
      <c r="G7" s="30" t="s">
        <v>221</v>
      </c>
      <c r="H7" s="30" t="s">
        <v>109</v>
      </c>
      <c r="I7" s="30" t="s">
        <v>243</v>
      </c>
      <c r="J7" s="30" t="s">
        <v>244</v>
      </c>
      <c r="K7" s="30" t="s">
        <v>245</v>
      </c>
    </row>
    <row r="8">
      <c r="A8" s="30" t="s">
        <v>229</v>
      </c>
      <c r="B8" s="30" t="s">
        <v>241</v>
      </c>
      <c r="C8" s="30" t="s">
        <v>246</v>
      </c>
      <c r="D8" s="30" t="s">
        <v>219</v>
      </c>
      <c r="E8" s="30">
        <v>42287.56</v>
      </c>
      <c r="F8" s="30" t="s">
        <v>247</v>
      </c>
      <c r="G8" s="30" t="s">
        <v>221</v>
      </c>
      <c r="H8" s="30" t="s">
        <v>109</v>
      </c>
      <c r="I8" s="30" t="s">
        <v>243</v>
      </c>
      <c r="J8" s="30" t="s">
        <v>248</v>
      </c>
      <c r="K8" s="30" t="s">
        <v>249</v>
      </c>
    </row>
    <row r="9">
      <c r="A9" s="30" t="s">
        <v>250</v>
      </c>
      <c r="B9" s="30" t="s">
        <v>251</v>
      </c>
      <c r="C9" s="30" t="s">
        <v>252</v>
      </c>
      <c r="D9" s="30" t="s">
        <v>219</v>
      </c>
      <c r="E9" s="30">
        <v>51839.37</v>
      </c>
      <c r="F9" s="30" t="s">
        <v>220</v>
      </c>
      <c r="G9" s="30" t="s">
        <v>221</v>
      </c>
      <c r="H9" s="30" t="s">
        <v>253</v>
      </c>
      <c r="I9" s="30" t="s">
        <v>254</v>
      </c>
      <c r="J9" s="30" t="s">
        <v>255</v>
      </c>
      <c r="K9" s="30" t="s">
        <v>256</v>
      </c>
    </row>
    <row r="10">
      <c r="A10" s="30" t="s">
        <v>257</v>
      </c>
      <c r="B10" s="30" t="s">
        <v>236</v>
      </c>
      <c r="C10" s="30" t="s">
        <v>258</v>
      </c>
      <c r="D10" s="30" t="s">
        <v>259</v>
      </c>
      <c r="E10" s="30" t="s">
        <v>260</v>
      </c>
      <c r="F10" s="30" t="s">
        <v>261</v>
      </c>
      <c r="G10" s="30" t="s">
        <v>262</v>
      </c>
      <c r="H10" s="30" t="s">
        <v>109</v>
      </c>
      <c r="I10" s="30" t="s">
        <v>263</v>
      </c>
      <c r="J10" s="30" t="s">
        <v>264</v>
      </c>
      <c r="K10" s="30" t="s">
        <v>265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272</v>
      </c>
      <c r="B1" s="1" t="s">
        <v>273</v>
      </c>
      <c r="C1" s="1" t="s">
        <v>274</v>
      </c>
      <c r="D1" s="1" t="s">
        <v>275</v>
      </c>
      <c r="E1" s="1" t="s">
        <v>10</v>
      </c>
      <c r="F1" s="1" t="s">
        <v>11</v>
      </c>
      <c r="G1" s="1" t="s">
        <v>12</v>
      </c>
      <c r="H1" s="1" t="s">
        <v>270</v>
      </c>
      <c r="I1" s="1" t="s">
        <v>276</v>
      </c>
      <c r="J1" s="1" t="s">
        <v>277</v>
      </c>
      <c r="K1" s="1" t="s">
        <v>215</v>
      </c>
      <c r="L1" s="1" t="s">
        <v>35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209</v>
      </c>
      <c r="B1" s="1" t="s">
        <v>278</v>
      </c>
      <c r="C1" s="1" t="s">
        <v>12</v>
      </c>
      <c r="D1" s="1" t="s">
        <v>279</v>
      </c>
      <c r="E1" s="1" t="s">
        <v>280</v>
      </c>
      <c r="F1" s="1" t="s">
        <v>10</v>
      </c>
      <c r="G1" s="1" t="s">
        <v>208</v>
      </c>
      <c r="H1" s="1" t="s">
        <v>215</v>
      </c>
      <c r="I1" s="1" t="s">
        <v>281</v>
      </c>
      <c r="J1" s="1" t="s">
        <v>35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309</v>
      </c>
      <c r="B1" s="1" t="s">
        <v>75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10</v>
      </c>
      <c r="H1" s="1" t="s">
        <v>11</v>
      </c>
      <c r="I1" s="1" t="s">
        <v>12</v>
      </c>
      <c r="J1" s="1" t="s">
        <v>215</v>
      </c>
      <c r="K1" s="1" t="s">
        <v>13</v>
      </c>
      <c r="L1" s="1" t="s">
        <v>208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282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34</v>
      </c>
      <c r="H1" s="1" t="s">
        <v>288</v>
      </c>
      <c r="I1" s="1" t="s">
        <v>35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4</v>
      </c>
      <c r="B1" s="1" t="s">
        <v>289</v>
      </c>
      <c r="C1" s="1" t="s">
        <v>10</v>
      </c>
      <c r="D1" s="1" t="s">
        <v>290</v>
      </c>
      <c r="E1" s="1" t="s">
        <v>90</v>
      </c>
      <c r="F1" s="1" t="s">
        <v>291</v>
      </c>
      <c r="G1" s="1" t="s">
        <v>292</v>
      </c>
      <c r="H1" s="1" t="s">
        <v>293</v>
      </c>
      <c r="I1" s="1" t="s">
        <v>12</v>
      </c>
      <c r="J1" s="1" t="s">
        <v>294</v>
      </c>
      <c r="K1" s="1" t="s">
        <v>295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296</v>
      </c>
      <c r="B1" s="1" t="s">
        <v>274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10</v>
      </c>
      <c r="K1" s="1" t="s">
        <v>208</v>
      </c>
      <c r="L1" s="1" t="s">
        <v>35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304</v>
      </c>
      <c r="B1" s="1" t="s">
        <v>305</v>
      </c>
      <c r="C1" s="1" t="s">
        <v>4</v>
      </c>
      <c r="D1" s="1" t="s">
        <v>306</v>
      </c>
      <c r="E1" s="1" t="s">
        <v>307</v>
      </c>
      <c r="F1" s="1" t="s">
        <v>12</v>
      </c>
      <c r="G1" s="1" t="s">
        <v>95</v>
      </c>
      <c r="H1" s="1" t="s">
        <v>308</v>
      </c>
      <c r="I1" s="1" t="s">
        <v>35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322</v>
      </c>
      <c r="I1" s="1" t="s">
        <v>10</v>
      </c>
      <c r="J1" s="1" t="s">
        <v>208</v>
      </c>
      <c r="K1" s="1" t="s">
        <v>294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75</v>
      </c>
      <c r="B1" s="1" t="s">
        <v>321</v>
      </c>
      <c r="C1" s="1" t="s">
        <v>323</v>
      </c>
      <c r="D1" s="1" t="s">
        <v>310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285</v>
      </c>
      <c r="J1" s="1" t="s">
        <v>328</v>
      </c>
      <c r="K1" s="1" t="s">
        <v>10</v>
      </c>
      <c r="L1" s="1" t="s">
        <v>12</v>
      </c>
      <c r="M1" s="1" t="s">
        <v>208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24</v>
      </c>
      <c r="B1" s="1" t="s">
        <v>23</v>
      </c>
      <c r="C1" s="1" t="s">
        <v>25</v>
      </c>
      <c r="D1" s="1" t="s">
        <v>283</v>
      </c>
      <c r="E1" s="1" t="s">
        <v>34</v>
      </c>
      <c r="F1" s="1" t="s">
        <v>329</v>
      </c>
      <c r="G1" s="1" t="s">
        <v>35</v>
      </c>
    </row>
    <row r="2">
      <c r="A2" s="41" t="s">
        <v>330</v>
      </c>
      <c r="B2" s="41" t="s">
        <v>331</v>
      </c>
      <c r="C2" s="41" t="s">
        <v>332</v>
      </c>
      <c r="D2" s="41" t="s">
        <v>333</v>
      </c>
      <c r="E2" s="41" t="s">
        <v>334</v>
      </c>
      <c r="F2" s="41" t="s">
        <v>334</v>
      </c>
      <c r="G2" s="41" t="s">
        <v>336</v>
      </c>
    </row>
    <row r="3">
      <c r="A3" s="30" t="s">
        <v>337</v>
      </c>
      <c r="B3" s="30" t="s">
        <v>339</v>
      </c>
      <c r="C3" s="30" t="s">
        <v>341</v>
      </c>
      <c r="D3" s="30" t="s">
        <v>342</v>
      </c>
      <c r="E3" s="30" t="s">
        <v>334</v>
      </c>
      <c r="F3" s="30" t="s">
        <v>344</v>
      </c>
      <c r="G3" s="30" t="s">
        <v>345</v>
      </c>
    </row>
    <row r="4">
      <c r="A4" s="30" t="s">
        <v>347</v>
      </c>
      <c r="B4" s="30" t="s">
        <v>348</v>
      </c>
      <c r="C4" s="30" t="s">
        <v>350</v>
      </c>
      <c r="D4" s="30" t="s">
        <v>351</v>
      </c>
      <c r="E4" s="30" t="s">
        <v>334</v>
      </c>
      <c r="F4" s="30" t="s">
        <v>344</v>
      </c>
      <c r="G4" s="30" t="s">
        <v>353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335</v>
      </c>
      <c r="B1" s="1" t="s">
        <v>310</v>
      </c>
      <c r="C1" s="1" t="s">
        <v>283</v>
      </c>
      <c r="D1" s="1" t="s">
        <v>338</v>
      </c>
      <c r="E1" s="1" t="s">
        <v>290</v>
      </c>
      <c r="F1" s="1" t="s">
        <v>340</v>
      </c>
      <c r="G1" s="1" t="s">
        <v>202</v>
      </c>
      <c r="H1" s="1" t="s">
        <v>343</v>
      </c>
      <c r="I1" s="1" t="s">
        <v>34</v>
      </c>
      <c r="J1" s="1" t="s">
        <v>346</v>
      </c>
    </row>
    <row r="2">
      <c r="A2" s="41" t="s">
        <v>349</v>
      </c>
      <c r="B2" s="41" t="s">
        <v>123</v>
      </c>
      <c r="C2" s="41" t="s">
        <v>352</v>
      </c>
      <c r="D2" s="41" t="s">
        <v>354</v>
      </c>
      <c r="E2" s="41" t="s">
        <v>355</v>
      </c>
      <c r="F2" s="41" t="s">
        <v>356</v>
      </c>
      <c r="G2" s="41" t="s">
        <v>334</v>
      </c>
      <c r="H2" s="41" t="s">
        <v>344</v>
      </c>
      <c r="I2" s="41" t="s">
        <v>344</v>
      </c>
      <c r="J2" s="30">
        <v>10.0</v>
      </c>
    </row>
    <row r="3">
      <c r="A3" s="41" t="s">
        <v>357</v>
      </c>
      <c r="B3" s="41" t="s">
        <v>123</v>
      </c>
      <c r="C3" s="41" t="s">
        <v>352</v>
      </c>
      <c r="D3" s="41" t="s">
        <v>358</v>
      </c>
      <c r="E3" s="41" t="s">
        <v>355</v>
      </c>
      <c r="F3" s="41" t="s">
        <v>356</v>
      </c>
      <c r="G3" s="41" t="s">
        <v>334</v>
      </c>
      <c r="H3" s="41" t="s">
        <v>344</v>
      </c>
      <c r="I3" s="41" t="s">
        <v>344</v>
      </c>
      <c r="J3" s="30">
        <v>20.0</v>
      </c>
    </row>
    <row r="4">
      <c r="A4" s="41" t="s">
        <v>359</v>
      </c>
      <c r="B4" s="41" t="s">
        <v>123</v>
      </c>
      <c r="C4" s="41" t="s">
        <v>352</v>
      </c>
      <c r="D4" s="41" t="s">
        <v>360</v>
      </c>
      <c r="E4" s="41" t="s">
        <v>355</v>
      </c>
      <c r="F4" s="41" t="s">
        <v>356</v>
      </c>
      <c r="G4" s="41" t="s">
        <v>334</v>
      </c>
      <c r="H4" s="41" t="s">
        <v>334</v>
      </c>
      <c r="I4" s="41" t="s">
        <v>344</v>
      </c>
      <c r="J4" s="30">
        <v>30.0</v>
      </c>
    </row>
    <row r="5">
      <c r="A5" s="41" t="s">
        <v>361</v>
      </c>
      <c r="B5" s="41" t="s">
        <v>123</v>
      </c>
      <c r="C5" s="41" t="s">
        <v>352</v>
      </c>
      <c r="D5" s="41" t="s">
        <v>362</v>
      </c>
      <c r="E5" s="41" t="s">
        <v>355</v>
      </c>
      <c r="F5" s="41" t="s">
        <v>363</v>
      </c>
      <c r="G5" s="41" t="s">
        <v>334</v>
      </c>
      <c r="H5" s="41" t="s">
        <v>344</v>
      </c>
      <c r="I5" s="41" t="s">
        <v>344</v>
      </c>
      <c r="J5" s="30">
        <v>40.0</v>
      </c>
    </row>
    <row r="6">
      <c r="A6" s="41" t="s">
        <v>364</v>
      </c>
      <c r="B6" s="41" t="s">
        <v>123</v>
      </c>
      <c r="C6" s="41" t="s">
        <v>352</v>
      </c>
      <c r="D6" s="41" t="s">
        <v>365</v>
      </c>
      <c r="E6" s="41" t="s">
        <v>355</v>
      </c>
      <c r="F6" s="41" t="s">
        <v>356</v>
      </c>
      <c r="G6" s="41" t="s">
        <v>334</v>
      </c>
      <c r="H6" s="41" t="s">
        <v>344</v>
      </c>
      <c r="I6" s="41" t="s">
        <v>344</v>
      </c>
      <c r="J6" s="30">
        <v>50.0</v>
      </c>
    </row>
    <row r="7">
      <c r="A7" s="41" t="s">
        <v>366</v>
      </c>
      <c r="B7" s="41" t="s">
        <v>123</v>
      </c>
      <c r="C7" s="41" t="s">
        <v>352</v>
      </c>
      <c r="D7" s="41" t="s">
        <v>367</v>
      </c>
      <c r="E7" s="41" t="s">
        <v>355</v>
      </c>
      <c r="F7" s="41" t="s">
        <v>356</v>
      </c>
      <c r="G7" s="41" t="s">
        <v>334</v>
      </c>
      <c r="H7" s="41" t="s">
        <v>334</v>
      </c>
      <c r="I7" s="41" t="s">
        <v>344</v>
      </c>
      <c r="J7" s="30">
        <v>60.0</v>
      </c>
    </row>
    <row r="8">
      <c r="A8" s="41" t="s">
        <v>368</v>
      </c>
      <c r="B8" s="41" t="s">
        <v>123</v>
      </c>
      <c r="C8" s="41" t="s">
        <v>352</v>
      </c>
      <c r="D8" s="41" t="s">
        <v>369</v>
      </c>
      <c r="E8" s="41" t="s">
        <v>355</v>
      </c>
      <c r="F8" s="41" t="s">
        <v>356</v>
      </c>
      <c r="G8" s="41" t="s">
        <v>334</v>
      </c>
      <c r="H8" s="41" t="s">
        <v>334</v>
      </c>
      <c r="I8" s="41" t="s">
        <v>344</v>
      </c>
      <c r="J8" s="30">
        <v>70.0</v>
      </c>
    </row>
    <row r="9">
      <c r="A9" s="41" t="s">
        <v>370</v>
      </c>
      <c r="B9" s="41" t="s">
        <v>123</v>
      </c>
      <c r="C9" s="41" t="s">
        <v>371</v>
      </c>
      <c r="D9" s="41" t="s">
        <v>372</v>
      </c>
      <c r="E9" s="41" t="s">
        <v>373</v>
      </c>
      <c r="F9" s="41" t="s">
        <v>374</v>
      </c>
      <c r="G9" s="41" t="s">
        <v>334</v>
      </c>
      <c r="H9" s="41" t="s">
        <v>334</v>
      </c>
      <c r="I9" s="41" t="s">
        <v>344</v>
      </c>
      <c r="J9" s="30">
        <v>100.0</v>
      </c>
    </row>
    <row r="10">
      <c r="A10" s="41" t="s">
        <v>375</v>
      </c>
      <c r="B10" s="41" t="s">
        <v>107</v>
      </c>
      <c r="C10" s="41" t="s">
        <v>371</v>
      </c>
      <c r="D10" s="41" t="s">
        <v>376</v>
      </c>
      <c r="E10" s="41" t="s">
        <v>373</v>
      </c>
      <c r="F10" s="41" t="s">
        <v>377</v>
      </c>
      <c r="G10" s="41" t="s">
        <v>334</v>
      </c>
      <c r="H10" s="41" t="s">
        <v>334</v>
      </c>
      <c r="I10" s="41" t="s">
        <v>344</v>
      </c>
      <c r="J10" s="30">
        <v>110.0</v>
      </c>
    </row>
    <row r="11">
      <c r="A11" s="41" t="s">
        <v>378</v>
      </c>
      <c r="B11" s="41" t="s">
        <v>96</v>
      </c>
      <c r="C11" s="41" t="s">
        <v>371</v>
      </c>
      <c r="D11" s="41" t="s">
        <v>379</v>
      </c>
      <c r="E11" s="41" t="s">
        <v>373</v>
      </c>
      <c r="F11" s="41" t="s">
        <v>374</v>
      </c>
      <c r="G11" s="41" t="s">
        <v>334</v>
      </c>
      <c r="H11" s="41" t="s">
        <v>334</v>
      </c>
      <c r="I11" s="41" t="s">
        <v>334</v>
      </c>
      <c r="J11" s="30">
        <v>120.0</v>
      </c>
    </row>
    <row r="12">
      <c r="A12" s="41" t="s">
        <v>380</v>
      </c>
      <c r="B12" s="41" t="s">
        <v>96</v>
      </c>
      <c r="C12" s="41" t="s">
        <v>371</v>
      </c>
      <c r="D12" s="41" t="s">
        <v>381</v>
      </c>
      <c r="E12" s="41" t="s">
        <v>382</v>
      </c>
      <c r="F12" s="41" t="s">
        <v>374</v>
      </c>
      <c r="G12" s="41" t="s">
        <v>334</v>
      </c>
      <c r="H12" s="41" t="s">
        <v>334</v>
      </c>
      <c r="I12" s="41" t="s">
        <v>334</v>
      </c>
      <c r="J12" s="30">
        <v>130.0</v>
      </c>
    </row>
    <row r="13">
      <c r="A13" s="41" t="s">
        <v>383</v>
      </c>
      <c r="B13" s="41" t="s">
        <v>146</v>
      </c>
      <c r="C13" s="41" t="s">
        <v>371</v>
      </c>
      <c r="D13" s="41" t="s">
        <v>384</v>
      </c>
      <c r="E13" s="41" t="s">
        <v>373</v>
      </c>
      <c r="F13" s="41" t="s">
        <v>374</v>
      </c>
      <c r="G13" s="41" t="s">
        <v>334</v>
      </c>
      <c r="H13" s="41" t="s">
        <v>334</v>
      </c>
      <c r="I13" s="41" t="s">
        <v>334</v>
      </c>
      <c r="J13" s="30">
        <v>140.0</v>
      </c>
    </row>
    <row r="14">
      <c r="A14" s="41" t="s">
        <v>385</v>
      </c>
      <c r="B14" s="41" t="s">
        <v>386</v>
      </c>
      <c r="C14" s="41" t="s">
        <v>371</v>
      </c>
      <c r="D14" s="41" t="s">
        <v>387</v>
      </c>
      <c r="E14" s="41" t="s">
        <v>373</v>
      </c>
      <c r="F14" s="41" t="s">
        <v>374</v>
      </c>
      <c r="G14" s="41" t="s">
        <v>334</v>
      </c>
      <c r="H14" s="41" t="s">
        <v>334</v>
      </c>
      <c r="I14" s="41" t="s">
        <v>334</v>
      </c>
      <c r="J14" s="30">
        <v>150.0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335</v>
      </c>
      <c r="B1" s="1" t="s">
        <v>272</v>
      </c>
      <c r="C1" s="1" t="s">
        <v>388</v>
      </c>
      <c r="D1" s="1" t="s">
        <v>202</v>
      </c>
      <c r="E1" s="1" t="s">
        <v>343</v>
      </c>
      <c r="F1" s="1" t="s">
        <v>389</v>
      </c>
      <c r="G1" s="1" t="s">
        <v>346</v>
      </c>
    </row>
    <row r="2">
      <c r="A2" s="41" t="s">
        <v>349</v>
      </c>
      <c r="B2" s="41" t="s">
        <v>390</v>
      </c>
      <c r="C2" s="41" t="s">
        <v>391</v>
      </c>
      <c r="D2" s="41" t="s">
        <v>334</v>
      </c>
      <c r="E2" s="41" t="s">
        <v>344</v>
      </c>
      <c r="F2" s="41" t="s">
        <v>334</v>
      </c>
      <c r="G2" s="30">
        <v>10.0</v>
      </c>
    </row>
    <row r="3">
      <c r="A3" s="41" t="s">
        <v>349</v>
      </c>
      <c r="B3" s="41" t="s">
        <v>392</v>
      </c>
      <c r="C3" s="41" t="s">
        <v>393</v>
      </c>
      <c r="D3" s="41" t="s">
        <v>334</v>
      </c>
      <c r="E3" s="41" t="s">
        <v>344</v>
      </c>
      <c r="F3" s="41" t="s">
        <v>334</v>
      </c>
      <c r="G3" s="30">
        <v>20.0</v>
      </c>
    </row>
    <row r="4">
      <c r="A4" s="41" t="s">
        <v>349</v>
      </c>
      <c r="B4" s="41" t="s">
        <v>394</v>
      </c>
      <c r="C4" s="41" t="s">
        <v>395</v>
      </c>
      <c r="D4" s="41" t="s">
        <v>334</v>
      </c>
      <c r="E4" s="41" t="s">
        <v>344</v>
      </c>
      <c r="F4" s="41" t="s">
        <v>334</v>
      </c>
      <c r="G4" s="30">
        <v>30.0</v>
      </c>
    </row>
    <row r="5">
      <c r="A5" s="41" t="s">
        <v>349</v>
      </c>
      <c r="B5" s="41" t="s">
        <v>396</v>
      </c>
      <c r="C5" s="41" t="s">
        <v>397</v>
      </c>
      <c r="D5" s="41" t="s">
        <v>334</v>
      </c>
      <c r="E5" s="41" t="s">
        <v>344</v>
      </c>
      <c r="F5" s="41" t="s">
        <v>334</v>
      </c>
      <c r="G5" s="30">
        <v>40.0</v>
      </c>
    </row>
    <row r="6">
      <c r="A6" s="41" t="s">
        <v>349</v>
      </c>
      <c r="B6" s="41" t="s">
        <v>398</v>
      </c>
      <c r="C6" s="41" t="s">
        <v>399</v>
      </c>
      <c r="D6" s="41" t="s">
        <v>334</v>
      </c>
      <c r="E6" s="41" t="s">
        <v>344</v>
      </c>
      <c r="F6" s="41" t="s">
        <v>334</v>
      </c>
      <c r="G6" s="30">
        <v>50.0</v>
      </c>
    </row>
    <row r="7">
      <c r="A7" s="41" t="s">
        <v>349</v>
      </c>
      <c r="B7" s="41" t="s">
        <v>400</v>
      </c>
      <c r="C7" s="41" t="s">
        <v>401</v>
      </c>
      <c r="D7" s="41" t="s">
        <v>334</v>
      </c>
      <c r="E7" s="41" t="s">
        <v>344</v>
      </c>
      <c r="F7" s="41" t="s">
        <v>334</v>
      </c>
      <c r="G7" s="30">
        <v>60.0</v>
      </c>
    </row>
    <row r="8">
      <c r="A8" s="41" t="s">
        <v>349</v>
      </c>
      <c r="B8" s="41" t="s">
        <v>402</v>
      </c>
      <c r="C8" s="41" t="s">
        <v>403</v>
      </c>
      <c r="D8" s="41" t="s">
        <v>334</v>
      </c>
      <c r="E8" s="41" t="s">
        <v>344</v>
      </c>
      <c r="F8" s="41" t="s">
        <v>334</v>
      </c>
      <c r="G8" s="30">
        <v>70.0</v>
      </c>
    </row>
    <row r="9">
      <c r="A9" s="41" t="s">
        <v>349</v>
      </c>
      <c r="B9" s="41" t="s">
        <v>404</v>
      </c>
      <c r="C9" s="41" t="s">
        <v>405</v>
      </c>
      <c r="D9" s="41" t="s">
        <v>334</v>
      </c>
      <c r="E9" s="41" t="s">
        <v>344</v>
      </c>
      <c r="F9" s="41" t="s">
        <v>334</v>
      </c>
      <c r="G9" s="30">
        <v>80.0</v>
      </c>
    </row>
    <row r="10">
      <c r="A10" s="41" t="s">
        <v>357</v>
      </c>
      <c r="B10" s="41" t="s">
        <v>406</v>
      </c>
      <c r="C10" s="41" t="s">
        <v>407</v>
      </c>
      <c r="D10" s="41" t="s">
        <v>334</v>
      </c>
      <c r="E10" s="41" t="s">
        <v>344</v>
      </c>
      <c r="F10" s="41" t="s">
        <v>334</v>
      </c>
      <c r="G10" s="30">
        <v>10.0</v>
      </c>
    </row>
    <row r="11">
      <c r="A11" s="41" t="s">
        <v>357</v>
      </c>
      <c r="B11" s="41" t="s">
        <v>408</v>
      </c>
      <c r="C11" s="41" t="s">
        <v>409</v>
      </c>
      <c r="D11" s="41" t="s">
        <v>334</v>
      </c>
      <c r="E11" s="41" t="s">
        <v>344</v>
      </c>
      <c r="F11" s="41" t="s">
        <v>334</v>
      </c>
      <c r="G11" s="30">
        <v>20.0</v>
      </c>
    </row>
    <row r="12">
      <c r="A12" s="41" t="s">
        <v>357</v>
      </c>
      <c r="B12" s="41" t="s">
        <v>410</v>
      </c>
      <c r="C12" s="41" t="s">
        <v>411</v>
      </c>
      <c r="D12" s="41" t="s">
        <v>334</v>
      </c>
      <c r="E12" s="41" t="s">
        <v>344</v>
      </c>
      <c r="F12" s="41" t="s">
        <v>334</v>
      </c>
      <c r="G12" s="30">
        <v>30.0</v>
      </c>
    </row>
    <row r="13">
      <c r="A13" s="41" t="s">
        <v>357</v>
      </c>
      <c r="B13" s="41" t="s">
        <v>412</v>
      </c>
      <c r="C13" s="41" t="s">
        <v>413</v>
      </c>
      <c r="D13" s="41" t="s">
        <v>334</v>
      </c>
      <c r="E13" s="41" t="s">
        <v>344</v>
      </c>
      <c r="F13" s="41" t="s">
        <v>334</v>
      </c>
      <c r="G13" s="30">
        <v>40.0</v>
      </c>
    </row>
    <row r="14">
      <c r="A14" s="41" t="s">
        <v>357</v>
      </c>
      <c r="B14" s="41" t="s">
        <v>414</v>
      </c>
      <c r="C14" s="41" t="s">
        <v>415</v>
      </c>
      <c r="D14" s="41" t="s">
        <v>334</v>
      </c>
      <c r="E14" s="41" t="s">
        <v>344</v>
      </c>
      <c r="F14" s="41" t="s">
        <v>334</v>
      </c>
      <c r="G14" s="30">
        <v>50.0</v>
      </c>
    </row>
    <row r="15">
      <c r="A15" s="41" t="s">
        <v>357</v>
      </c>
      <c r="B15" s="41" t="s">
        <v>416</v>
      </c>
      <c r="C15" s="41" t="s">
        <v>417</v>
      </c>
      <c r="D15" s="41" t="s">
        <v>334</v>
      </c>
      <c r="E15" s="41" t="s">
        <v>344</v>
      </c>
      <c r="F15" s="41" t="s">
        <v>334</v>
      </c>
      <c r="G15" s="30">
        <v>60.0</v>
      </c>
    </row>
    <row r="16">
      <c r="A16" s="41" t="s">
        <v>359</v>
      </c>
      <c r="B16" s="41" t="s">
        <v>418</v>
      </c>
      <c r="C16" s="41" t="s">
        <v>419</v>
      </c>
      <c r="D16" s="41" t="s">
        <v>334</v>
      </c>
      <c r="E16" s="41" t="s">
        <v>334</v>
      </c>
      <c r="F16" s="41" t="s">
        <v>334</v>
      </c>
      <c r="G16" s="30">
        <v>10.0</v>
      </c>
    </row>
    <row r="17">
      <c r="A17" s="41" t="s">
        <v>359</v>
      </c>
      <c r="B17" s="41" t="s">
        <v>420</v>
      </c>
      <c r="C17" s="41" t="s">
        <v>421</v>
      </c>
      <c r="D17" s="41" t="s">
        <v>334</v>
      </c>
      <c r="E17" s="41" t="s">
        <v>344</v>
      </c>
      <c r="F17" s="41" t="s">
        <v>334</v>
      </c>
      <c r="G17" s="30">
        <v>20.0</v>
      </c>
    </row>
    <row r="18">
      <c r="A18" s="41" t="s">
        <v>359</v>
      </c>
      <c r="B18" s="41" t="s">
        <v>422</v>
      </c>
      <c r="C18" s="41" t="s">
        <v>423</v>
      </c>
      <c r="D18" s="41" t="s">
        <v>334</v>
      </c>
      <c r="E18" s="41" t="s">
        <v>344</v>
      </c>
      <c r="F18" s="41" t="s">
        <v>334</v>
      </c>
      <c r="G18" s="30">
        <v>30.0</v>
      </c>
    </row>
    <row r="19">
      <c r="A19" s="41" t="s">
        <v>359</v>
      </c>
      <c r="B19" s="41" t="s">
        <v>424</v>
      </c>
      <c r="C19" s="41" t="s">
        <v>425</v>
      </c>
      <c r="D19" s="41" t="s">
        <v>334</v>
      </c>
      <c r="E19" s="41" t="s">
        <v>334</v>
      </c>
      <c r="F19" s="41" t="s">
        <v>334</v>
      </c>
      <c r="G19" s="30">
        <v>40.0</v>
      </c>
    </row>
    <row r="20">
      <c r="A20" s="41" t="s">
        <v>359</v>
      </c>
      <c r="B20" s="41" t="s">
        <v>426</v>
      </c>
      <c r="C20" s="41" t="s">
        <v>427</v>
      </c>
      <c r="D20" s="41" t="s">
        <v>334</v>
      </c>
      <c r="E20" s="41" t="s">
        <v>334</v>
      </c>
      <c r="F20" s="41" t="s">
        <v>334</v>
      </c>
      <c r="G20" s="30">
        <v>50.0</v>
      </c>
    </row>
    <row r="21">
      <c r="A21" s="41" t="s">
        <v>361</v>
      </c>
      <c r="B21" s="41" t="s">
        <v>429</v>
      </c>
      <c r="C21" s="41" t="s">
        <v>431</v>
      </c>
      <c r="D21" s="41" t="s">
        <v>334</v>
      </c>
      <c r="E21" s="41" t="s">
        <v>344</v>
      </c>
      <c r="F21" s="41" t="s">
        <v>334</v>
      </c>
      <c r="G21" s="30">
        <v>10.0</v>
      </c>
    </row>
    <row r="22">
      <c r="A22" s="41" t="s">
        <v>361</v>
      </c>
      <c r="B22" s="41" t="s">
        <v>436</v>
      </c>
      <c r="C22" s="41" t="s">
        <v>438</v>
      </c>
      <c r="D22" s="41" t="s">
        <v>334</v>
      </c>
      <c r="E22" s="41" t="s">
        <v>344</v>
      </c>
      <c r="F22" s="41" t="s">
        <v>334</v>
      </c>
      <c r="G22" s="30">
        <v>20.0</v>
      </c>
    </row>
    <row r="23">
      <c r="A23" s="41" t="s">
        <v>361</v>
      </c>
      <c r="B23" s="41" t="s">
        <v>444</v>
      </c>
      <c r="C23" s="41" t="s">
        <v>445</v>
      </c>
      <c r="D23" s="41" t="s">
        <v>334</v>
      </c>
      <c r="E23" s="41" t="s">
        <v>344</v>
      </c>
      <c r="F23" s="41" t="s">
        <v>334</v>
      </c>
      <c r="G23" s="30">
        <v>30.0</v>
      </c>
    </row>
    <row r="24">
      <c r="A24" s="41" t="s">
        <v>361</v>
      </c>
      <c r="B24" s="41" t="s">
        <v>446</v>
      </c>
      <c r="C24" s="41" t="s">
        <v>447</v>
      </c>
      <c r="D24" s="41" t="s">
        <v>334</v>
      </c>
      <c r="E24" s="41" t="s">
        <v>344</v>
      </c>
      <c r="F24" s="41" t="s">
        <v>334</v>
      </c>
      <c r="G24" s="30">
        <v>40.0</v>
      </c>
    </row>
    <row r="25">
      <c r="A25" s="41" t="s">
        <v>361</v>
      </c>
      <c r="B25" s="41" t="s">
        <v>448</v>
      </c>
      <c r="C25" s="41" t="s">
        <v>449</v>
      </c>
      <c r="D25" s="41" t="s">
        <v>334</v>
      </c>
      <c r="E25" s="41" t="s">
        <v>344</v>
      </c>
      <c r="F25" s="41" t="s">
        <v>334</v>
      </c>
      <c r="G25" s="30">
        <v>50.0</v>
      </c>
    </row>
    <row r="26">
      <c r="A26" s="41" t="s">
        <v>364</v>
      </c>
      <c r="B26" s="41" t="s">
        <v>451</v>
      </c>
      <c r="C26" s="41" t="s">
        <v>452</v>
      </c>
      <c r="D26" s="41" t="s">
        <v>334</v>
      </c>
      <c r="E26" s="41" t="s">
        <v>344</v>
      </c>
      <c r="F26" s="41" t="s">
        <v>334</v>
      </c>
      <c r="G26" s="30">
        <v>10.0</v>
      </c>
    </row>
    <row r="27">
      <c r="A27" s="41" t="s">
        <v>364</v>
      </c>
      <c r="B27" s="41" t="s">
        <v>454</v>
      </c>
      <c r="C27" s="41" t="s">
        <v>455</v>
      </c>
      <c r="D27" s="41" t="s">
        <v>334</v>
      </c>
      <c r="E27" s="41" t="s">
        <v>344</v>
      </c>
      <c r="F27" s="41" t="s">
        <v>334</v>
      </c>
      <c r="G27" s="30">
        <v>20.0</v>
      </c>
    </row>
    <row r="28">
      <c r="A28" s="41" t="s">
        <v>364</v>
      </c>
      <c r="B28" s="41" t="s">
        <v>456</v>
      </c>
      <c r="C28" s="41" t="s">
        <v>457</v>
      </c>
      <c r="D28" s="41" t="s">
        <v>334</v>
      </c>
      <c r="E28" s="41" t="s">
        <v>344</v>
      </c>
      <c r="F28" s="41" t="s">
        <v>334</v>
      </c>
      <c r="G28" s="30">
        <v>30.0</v>
      </c>
    </row>
    <row r="29">
      <c r="A29" s="41" t="s">
        <v>364</v>
      </c>
      <c r="B29" s="41" t="s">
        <v>459</v>
      </c>
      <c r="C29" s="41" t="s">
        <v>460</v>
      </c>
      <c r="D29" s="41" t="s">
        <v>344</v>
      </c>
      <c r="E29" s="41" t="s">
        <v>344</v>
      </c>
      <c r="F29" s="41" t="s">
        <v>344</v>
      </c>
      <c r="G29" s="30">
        <v>40.0</v>
      </c>
    </row>
    <row r="30">
      <c r="A30" s="41" t="s">
        <v>366</v>
      </c>
      <c r="B30" s="41" t="s">
        <v>461</v>
      </c>
      <c r="C30" s="41" t="s">
        <v>462</v>
      </c>
      <c r="D30" s="41" t="s">
        <v>334</v>
      </c>
      <c r="E30" s="41" t="s">
        <v>334</v>
      </c>
      <c r="F30" s="41" t="s">
        <v>334</v>
      </c>
      <c r="G30" s="30">
        <v>10.0</v>
      </c>
    </row>
    <row r="31">
      <c r="A31" s="41" t="s">
        <v>366</v>
      </c>
      <c r="B31" s="41" t="s">
        <v>464</v>
      </c>
      <c r="C31" s="41" t="s">
        <v>465</v>
      </c>
      <c r="D31" s="41" t="s">
        <v>334</v>
      </c>
      <c r="E31" s="41" t="s">
        <v>334</v>
      </c>
      <c r="F31" s="41" t="s">
        <v>334</v>
      </c>
      <c r="G31" s="30">
        <v>20.0</v>
      </c>
    </row>
    <row r="32">
      <c r="A32" s="41" t="s">
        <v>366</v>
      </c>
      <c r="B32" s="41" t="s">
        <v>466</v>
      </c>
      <c r="C32" s="41" t="s">
        <v>467</v>
      </c>
      <c r="D32" s="41" t="s">
        <v>334</v>
      </c>
      <c r="E32" s="41" t="s">
        <v>334</v>
      </c>
      <c r="F32" s="41" t="s">
        <v>334</v>
      </c>
      <c r="G32" s="30">
        <v>30.0</v>
      </c>
    </row>
    <row r="33">
      <c r="A33" s="41" t="s">
        <v>366</v>
      </c>
      <c r="B33" s="41" t="s">
        <v>469</v>
      </c>
      <c r="C33" s="41" t="s">
        <v>470</v>
      </c>
      <c r="D33" s="41" t="s">
        <v>334</v>
      </c>
      <c r="E33" s="41" t="s">
        <v>334</v>
      </c>
      <c r="F33" s="41" t="s">
        <v>334</v>
      </c>
      <c r="G33" s="30">
        <v>40.0</v>
      </c>
    </row>
    <row r="34">
      <c r="A34" s="41" t="s">
        <v>368</v>
      </c>
      <c r="B34" s="41" t="s">
        <v>471</v>
      </c>
      <c r="C34" s="41" t="s">
        <v>472</v>
      </c>
      <c r="D34" s="41" t="s">
        <v>334</v>
      </c>
      <c r="E34" s="41" t="s">
        <v>334</v>
      </c>
      <c r="F34" s="41" t="s">
        <v>334</v>
      </c>
      <c r="G34" s="30">
        <v>10.0</v>
      </c>
    </row>
    <row r="35">
      <c r="A35" s="41" t="s">
        <v>368</v>
      </c>
      <c r="B35" s="41" t="s">
        <v>474</v>
      </c>
      <c r="C35" s="41" t="s">
        <v>475</v>
      </c>
      <c r="D35" s="41" t="s">
        <v>334</v>
      </c>
      <c r="E35" s="41" t="s">
        <v>344</v>
      </c>
      <c r="F35" s="41" t="s">
        <v>334</v>
      </c>
      <c r="G35" s="30">
        <v>20.0</v>
      </c>
    </row>
    <row r="36">
      <c r="A36" s="41" t="s">
        <v>368</v>
      </c>
      <c r="B36" s="41" t="s">
        <v>476</v>
      </c>
      <c r="C36" s="41" t="s">
        <v>477</v>
      </c>
      <c r="D36" s="41" t="s">
        <v>334</v>
      </c>
      <c r="E36" s="41" t="s">
        <v>334</v>
      </c>
      <c r="F36" s="41" t="s">
        <v>334</v>
      </c>
      <c r="G36" s="30">
        <v>30.0</v>
      </c>
    </row>
    <row r="37">
      <c r="A37" s="41" t="s">
        <v>368</v>
      </c>
      <c r="B37" s="41" t="s">
        <v>524</v>
      </c>
      <c r="C37" s="41" t="s">
        <v>526</v>
      </c>
      <c r="D37" s="41" t="s">
        <v>334</v>
      </c>
      <c r="E37" s="41" t="s">
        <v>334</v>
      </c>
      <c r="F37" s="41" t="s">
        <v>334</v>
      </c>
      <c r="G37" s="30">
        <v>40.0</v>
      </c>
    </row>
    <row r="38">
      <c r="A38" s="41" t="s">
        <v>368</v>
      </c>
      <c r="B38" s="41" t="s">
        <v>532</v>
      </c>
      <c r="C38" s="41" t="s">
        <v>533</v>
      </c>
      <c r="D38" s="41" t="s">
        <v>334</v>
      </c>
      <c r="E38" s="41" t="s">
        <v>334</v>
      </c>
      <c r="F38" s="41" t="s">
        <v>334</v>
      </c>
      <c r="G38" s="30">
        <v>50.0</v>
      </c>
    </row>
    <row r="39">
      <c r="A39" s="41" t="s">
        <v>368</v>
      </c>
      <c r="B39" s="41" t="s">
        <v>534</v>
      </c>
      <c r="C39" s="41" t="s">
        <v>535</v>
      </c>
      <c r="D39" s="41" t="s">
        <v>334</v>
      </c>
      <c r="E39" s="41" t="s">
        <v>334</v>
      </c>
      <c r="F39" s="41" t="s">
        <v>334</v>
      </c>
      <c r="G39" s="30">
        <v>60.0</v>
      </c>
    </row>
    <row r="40">
      <c r="A40" s="41" t="s">
        <v>368</v>
      </c>
      <c r="B40" s="41" t="s">
        <v>536</v>
      </c>
      <c r="C40" s="41" t="s">
        <v>537</v>
      </c>
      <c r="D40" s="41" t="s">
        <v>334</v>
      </c>
      <c r="E40" s="41" t="s">
        <v>344</v>
      </c>
      <c r="F40" s="41" t="s">
        <v>334</v>
      </c>
      <c r="G40" s="30">
        <v>70.0</v>
      </c>
    </row>
    <row r="41">
      <c r="A41" s="41" t="s">
        <v>370</v>
      </c>
      <c r="B41" s="41" t="s">
        <v>538</v>
      </c>
      <c r="C41" s="41" t="s">
        <v>539</v>
      </c>
      <c r="D41" s="41" t="s">
        <v>334</v>
      </c>
      <c r="E41" s="41" t="s">
        <v>334</v>
      </c>
      <c r="F41" s="41" t="s">
        <v>334</v>
      </c>
      <c r="G41" s="30">
        <v>10.0</v>
      </c>
    </row>
    <row r="42">
      <c r="A42" s="41" t="s">
        <v>370</v>
      </c>
      <c r="B42" s="41" t="s">
        <v>540</v>
      </c>
      <c r="C42" s="41" t="s">
        <v>541</v>
      </c>
      <c r="D42" s="41" t="s">
        <v>334</v>
      </c>
      <c r="E42" s="41" t="s">
        <v>334</v>
      </c>
      <c r="F42" s="41" t="s">
        <v>334</v>
      </c>
      <c r="G42" s="30">
        <v>20.0</v>
      </c>
    </row>
    <row r="43">
      <c r="A43" s="41" t="s">
        <v>370</v>
      </c>
      <c r="B43" s="41" t="s">
        <v>542</v>
      </c>
      <c r="C43" s="41" t="s">
        <v>543</v>
      </c>
      <c r="D43" s="41" t="s">
        <v>334</v>
      </c>
      <c r="E43" s="41" t="s">
        <v>334</v>
      </c>
      <c r="F43" s="41" t="s">
        <v>334</v>
      </c>
      <c r="G43" s="30">
        <v>30.0</v>
      </c>
    </row>
    <row r="44">
      <c r="A44" s="41" t="s">
        <v>370</v>
      </c>
      <c r="B44" s="41" t="s">
        <v>544</v>
      </c>
      <c r="C44" s="41" t="s">
        <v>545</v>
      </c>
      <c r="D44" s="41" t="s">
        <v>334</v>
      </c>
      <c r="E44" s="41" t="s">
        <v>334</v>
      </c>
      <c r="F44" s="41" t="s">
        <v>334</v>
      </c>
      <c r="G44" s="30">
        <v>40.0</v>
      </c>
    </row>
    <row r="45">
      <c r="A45" s="41" t="s">
        <v>370</v>
      </c>
      <c r="B45" s="41" t="s">
        <v>546</v>
      </c>
      <c r="C45" s="41" t="s">
        <v>547</v>
      </c>
      <c r="D45" s="41" t="s">
        <v>334</v>
      </c>
      <c r="E45" s="41" t="s">
        <v>334</v>
      </c>
      <c r="F45" s="41" t="s">
        <v>334</v>
      </c>
      <c r="G45" s="30">
        <v>50.0</v>
      </c>
    </row>
    <row r="46">
      <c r="A46" s="41" t="s">
        <v>370</v>
      </c>
      <c r="B46" s="41" t="s">
        <v>548</v>
      </c>
      <c r="C46" s="41" t="s">
        <v>549</v>
      </c>
      <c r="D46" s="41" t="s">
        <v>334</v>
      </c>
      <c r="E46" s="41" t="s">
        <v>334</v>
      </c>
      <c r="F46" s="41" t="s">
        <v>334</v>
      </c>
      <c r="G46" s="30">
        <v>60.0</v>
      </c>
    </row>
    <row r="47">
      <c r="A47" s="41" t="s">
        <v>370</v>
      </c>
      <c r="B47" s="41" t="s">
        <v>550</v>
      </c>
      <c r="C47" s="41" t="s">
        <v>551</v>
      </c>
      <c r="D47" s="41" t="s">
        <v>334</v>
      </c>
      <c r="E47" s="41" t="s">
        <v>334</v>
      </c>
      <c r="F47" s="41" t="s">
        <v>334</v>
      </c>
      <c r="G47" s="30">
        <v>70.0</v>
      </c>
    </row>
    <row r="48">
      <c r="A48" s="41" t="s">
        <v>370</v>
      </c>
      <c r="B48" s="41" t="s">
        <v>552</v>
      </c>
      <c r="C48" s="41" t="s">
        <v>553</v>
      </c>
      <c r="D48" s="41" t="s">
        <v>334</v>
      </c>
      <c r="E48" s="41" t="s">
        <v>334</v>
      </c>
      <c r="F48" s="41" t="s">
        <v>334</v>
      </c>
      <c r="G48" s="30">
        <v>80.0</v>
      </c>
    </row>
    <row r="49">
      <c r="A49" s="41" t="s">
        <v>370</v>
      </c>
      <c r="B49" s="41" t="s">
        <v>554</v>
      </c>
      <c r="C49" s="41" t="s">
        <v>555</v>
      </c>
      <c r="D49" s="41" t="s">
        <v>334</v>
      </c>
      <c r="E49" s="41" t="s">
        <v>334</v>
      </c>
      <c r="F49" s="41" t="s">
        <v>334</v>
      </c>
      <c r="G49" s="30">
        <v>90.0</v>
      </c>
    </row>
    <row r="50">
      <c r="A50" s="41" t="s">
        <v>370</v>
      </c>
      <c r="B50" s="41" t="s">
        <v>556</v>
      </c>
      <c r="C50" s="41" t="s">
        <v>557</v>
      </c>
      <c r="D50" s="41" t="s">
        <v>334</v>
      </c>
      <c r="E50" s="41" t="s">
        <v>334</v>
      </c>
      <c r="F50" s="41" t="s">
        <v>334</v>
      </c>
      <c r="G50" s="30">
        <v>100.0</v>
      </c>
    </row>
    <row r="51">
      <c r="A51" s="41" t="s">
        <v>375</v>
      </c>
      <c r="B51" s="41" t="s">
        <v>558</v>
      </c>
      <c r="C51" s="41" t="s">
        <v>559</v>
      </c>
      <c r="D51" s="41" t="s">
        <v>334</v>
      </c>
      <c r="E51" s="41" t="s">
        <v>334</v>
      </c>
      <c r="F51" s="41" t="s">
        <v>334</v>
      </c>
      <c r="G51" s="30">
        <v>10.0</v>
      </c>
    </row>
    <row r="52">
      <c r="A52" s="41" t="s">
        <v>375</v>
      </c>
      <c r="B52" s="41" t="s">
        <v>560</v>
      </c>
      <c r="C52" s="41" t="s">
        <v>561</v>
      </c>
      <c r="D52" s="41" t="s">
        <v>334</v>
      </c>
      <c r="E52" s="41" t="s">
        <v>334</v>
      </c>
      <c r="F52" s="41" t="s">
        <v>334</v>
      </c>
      <c r="G52" s="30">
        <v>20.0</v>
      </c>
    </row>
    <row r="53">
      <c r="A53" s="41" t="s">
        <v>375</v>
      </c>
      <c r="B53" s="41" t="s">
        <v>562</v>
      </c>
      <c r="C53" s="41" t="s">
        <v>563</v>
      </c>
      <c r="D53" s="41" t="s">
        <v>334</v>
      </c>
      <c r="E53" s="41" t="s">
        <v>334</v>
      </c>
      <c r="F53" s="41" t="s">
        <v>334</v>
      </c>
      <c r="G53" s="30">
        <v>30.0</v>
      </c>
    </row>
    <row r="54">
      <c r="A54" s="41" t="s">
        <v>375</v>
      </c>
      <c r="B54" s="41" t="s">
        <v>564</v>
      </c>
      <c r="C54" s="41" t="s">
        <v>565</v>
      </c>
      <c r="D54" s="41" t="s">
        <v>334</v>
      </c>
      <c r="E54" s="41" t="s">
        <v>334</v>
      </c>
      <c r="F54" s="41" t="s">
        <v>334</v>
      </c>
      <c r="G54" s="30">
        <v>40.0</v>
      </c>
    </row>
    <row r="55">
      <c r="A55" s="41" t="s">
        <v>375</v>
      </c>
      <c r="B55" s="41" t="s">
        <v>566</v>
      </c>
      <c r="C55" s="41" t="s">
        <v>567</v>
      </c>
      <c r="D55" s="41" t="s">
        <v>334</v>
      </c>
      <c r="E55" s="41" t="s">
        <v>334</v>
      </c>
      <c r="F55" s="41" t="s">
        <v>334</v>
      </c>
      <c r="G55" s="30">
        <v>50.0</v>
      </c>
    </row>
    <row r="56">
      <c r="A56" s="41" t="s">
        <v>375</v>
      </c>
      <c r="B56" s="41" t="s">
        <v>568</v>
      </c>
      <c r="C56" s="41" t="s">
        <v>569</v>
      </c>
      <c r="D56" s="41" t="s">
        <v>334</v>
      </c>
      <c r="E56" s="41" t="s">
        <v>334</v>
      </c>
      <c r="F56" s="41" t="s">
        <v>334</v>
      </c>
      <c r="G56" s="30">
        <v>60.0</v>
      </c>
    </row>
    <row r="57">
      <c r="A57" s="41" t="s">
        <v>375</v>
      </c>
      <c r="B57" s="41" t="s">
        <v>570</v>
      </c>
      <c r="C57" s="41" t="s">
        <v>571</v>
      </c>
      <c r="D57" s="41" t="s">
        <v>334</v>
      </c>
      <c r="E57" s="41" t="s">
        <v>334</v>
      </c>
      <c r="F57" s="41" t="s">
        <v>334</v>
      </c>
      <c r="G57" s="30">
        <v>70.0</v>
      </c>
    </row>
    <row r="58">
      <c r="A58" s="41" t="s">
        <v>378</v>
      </c>
      <c r="B58" s="41" t="s">
        <v>572</v>
      </c>
      <c r="C58" s="41" t="s">
        <v>573</v>
      </c>
      <c r="D58" s="41" t="s">
        <v>334</v>
      </c>
      <c r="E58" s="41" t="s">
        <v>334</v>
      </c>
      <c r="F58" s="41" t="s">
        <v>334</v>
      </c>
      <c r="G58" s="30">
        <v>10.0</v>
      </c>
    </row>
    <row r="59">
      <c r="A59" s="41" t="s">
        <v>378</v>
      </c>
      <c r="B59" s="41" t="s">
        <v>574</v>
      </c>
      <c r="C59" s="41" t="s">
        <v>575</v>
      </c>
      <c r="D59" s="41" t="s">
        <v>334</v>
      </c>
      <c r="E59" s="41" t="s">
        <v>334</v>
      </c>
      <c r="F59" s="41" t="s">
        <v>334</v>
      </c>
      <c r="G59" s="30">
        <v>20.0</v>
      </c>
    </row>
    <row r="60">
      <c r="A60" s="41" t="s">
        <v>378</v>
      </c>
      <c r="B60" s="41" t="s">
        <v>576</v>
      </c>
      <c r="C60" s="41" t="s">
        <v>577</v>
      </c>
      <c r="D60" s="41" t="s">
        <v>334</v>
      </c>
      <c r="E60" s="41" t="s">
        <v>334</v>
      </c>
      <c r="F60" s="41" t="s">
        <v>334</v>
      </c>
      <c r="G60" s="30">
        <v>30.0</v>
      </c>
    </row>
    <row r="61">
      <c r="A61" s="41" t="s">
        <v>378</v>
      </c>
      <c r="B61" s="41" t="s">
        <v>578</v>
      </c>
      <c r="C61" s="41" t="s">
        <v>579</v>
      </c>
      <c r="D61" s="41" t="s">
        <v>334</v>
      </c>
      <c r="E61" s="41" t="s">
        <v>334</v>
      </c>
      <c r="F61" s="41" t="s">
        <v>334</v>
      </c>
      <c r="G61" s="30">
        <v>40.0</v>
      </c>
    </row>
    <row r="62">
      <c r="A62" s="41" t="s">
        <v>378</v>
      </c>
      <c r="B62" s="41" t="s">
        <v>580</v>
      </c>
      <c r="C62" s="41" t="s">
        <v>581</v>
      </c>
      <c r="D62" s="41" t="s">
        <v>334</v>
      </c>
      <c r="E62" s="41" t="s">
        <v>334</v>
      </c>
      <c r="F62" s="41" t="s">
        <v>334</v>
      </c>
      <c r="G62" s="30">
        <v>50.0</v>
      </c>
    </row>
    <row r="63">
      <c r="A63" s="41" t="s">
        <v>378</v>
      </c>
      <c r="B63" s="41" t="s">
        <v>582</v>
      </c>
      <c r="C63" s="41" t="s">
        <v>583</v>
      </c>
      <c r="D63" s="41" t="s">
        <v>334</v>
      </c>
      <c r="E63" s="41" t="s">
        <v>334</v>
      </c>
      <c r="F63" s="41" t="s">
        <v>334</v>
      </c>
      <c r="G63" s="30">
        <v>60.0</v>
      </c>
    </row>
    <row r="64">
      <c r="A64" s="41" t="s">
        <v>378</v>
      </c>
      <c r="B64" s="41" t="s">
        <v>584</v>
      </c>
      <c r="C64" s="41" t="s">
        <v>585</v>
      </c>
      <c r="D64" s="41" t="s">
        <v>334</v>
      </c>
      <c r="E64" s="41" t="s">
        <v>334</v>
      </c>
      <c r="F64" s="41" t="s">
        <v>334</v>
      </c>
      <c r="G64" s="30">
        <v>70.0</v>
      </c>
    </row>
    <row r="65">
      <c r="A65" s="41" t="s">
        <v>378</v>
      </c>
      <c r="B65" s="41" t="s">
        <v>586</v>
      </c>
      <c r="C65" s="41" t="s">
        <v>587</v>
      </c>
      <c r="D65" s="41" t="s">
        <v>334</v>
      </c>
      <c r="E65" s="41" t="s">
        <v>334</v>
      </c>
      <c r="F65" s="41" t="s">
        <v>334</v>
      </c>
      <c r="G65" s="30">
        <v>80.0</v>
      </c>
    </row>
    <row r="66">
      <c r="A66" s="41" t="s">
        <v>378</v>
      </c>
      <c r="B66" s="41" t="s">
        <v>588</v>
      </c>
      <c r="C66" s="41" t="s">
        <v>589</v>
      </c>
      <c r="D66" s="41" t="s">
        <v>334</v>
      </c>
      <c r="E66" s="41" t="s">
        <v>334</v>
      </c>
      <c r="F66" s="41" t="s">
        <v>334</v>
      </c>
      <c r="G66" s="30">
        <v>90.0</v>
      </c>
    </row>
    <row r="67">
      <c r="A67" s="41" t="s">
        <v>378</v>
      </c>
      <c r="B67" s="41" t="s">
        <v>590</v>
      </c>
      <c r="C67" s="41" t="s">
        <v>591</v>
      </c>
      <c r="D67" s="41" t="s">
        <v>334</v>
      </c>
      <c r="E67" s="41" t="s">
        <v>334</v>
      </c>
      <c r="F67" s="41" t="s">
        <v>334</v>
      </c>
      <c r="G67" s="30">
        <v>100.0</v>
      </c>
    </row>
    <row r="68">
      <c r="A68" s="41" t="s">
        <v>380</v>
      </c>
      <c r="B68" s="41" t="s">
        <v>592</v>
      </c>
      <c r="C68" s="41" t="s">
        <v>593</v>
      </c>
      <c r="D68" s="41" t="s">
        <v>334</v>
      </c>
      <c r="E68" s="41" t="s">
        <v>334</v>
      </c>
      <c r="F68" s="41" t="s">
        <v>334</v>
      </c>
      <c r="G68" s="30">
        <v>10.0</v>
      </c>
    </row>
    <row r="69">
      <c r="A69" s="41" t="s">
        <v>380</v>
      </c>
      <c r="B69" s="41" t="s">
        <v>594</v>
      </c>
      <c r="C69" s="41" t="s">
        <v>595</v>
      </c>
      <c r="D69" s="41" t="s">
        <v>334</v>
      </c>
      <c r="E69" s="41" t="s">
        <v>334</v>
      </c>
      <c r="F69" s="41" t="s">
        <v>334</v>
      </c>
      <c r="G69" s="30">
        <v>20.0</v>
      </c>
    </row>
    <row r="70">
      <c r="A70" s="41" t="s">
        <v>380</v>
      </c>
      <c r="B70" s="41" t="s">
        <v>596</v>
      </c>
      <c r="C70" s="41" t="s">
        <v>597</v>
      </c>
      <c r="D70" s="41" t="s">
        <v>334</v>
      </c>
      <c r="E70" s="41" t="s">
        <v>334</v>
      </c>
      <c r="F70" s="41" t="s">
        <v>334</v>
      </c>
      <c r="G70" s="30">
        <v>30.0</v>
      </c>
    </row>
    <row r="71">
      <c r="A71" s="41" t="s">
        <v>380</v>
      </c>
      <c r="B71" s="41" t="s">
        <v>598</v>
      </c>
      <c r="C71" s="41" t="s">
        <v>599</v>
      </c>
      <c r="D71" s="41" t="s">
        <v>334</v>
      </c>
      <c r="E71" s="41" t="s">
        <v>334</v>
      </c>
      <c r="F71" s="41" t="s">
        <v>334</v>
      </c>
      <c r="G71" s="30">
        <v>40.0</v>
      </c>
    </row>
    <row r="72">
      <c r="A72" s="41" t="s">
        <v>380</v>
      </c>
      <c r="B72" s="41" t="s">
        <v>600</v>
      </c>
      <c r="C72" s="41" t="s">
        <v>601</v>
      </c>
      <c r="D72" s="41" t="s">
        <v>334</v>
      </c>
      <c r="E72" s="41" t="s">
        <v>334</v>
      </c>
      <c r="F72" s="41" t="s">
        <v>334</v>
      </c>
      <c r="G72" s="30">
        <v>50.0</v>
      </c>
    </row>
    <row r="73">
      <c r="A73" s="41" t="s">
        <v>380</v>
      </c>
      <c r="B73" s="41" t="s">
        <v>602</v>
      </c>
      <c r="C73" s="41" t="s">
        <v>603</v>
      </c>
      <c r="D73" s="41" t="s">
        <v>334</v>
      </c>
      <c r="E73" s="41" t="s">
        <v>334</v>
      </c>
      <c r="F73" s="41" t="s">
        <v>334</v>
      </c>
      <c r="G73" s="30">
        <v>60.0</v>
      </c>
    </row>
    <row r="74">
      <c r="A74" s="41" t="s">
        <v>380</v>
      </c>
      <c r="B74" s="41" t="s">
        <v>604</v>
      </c>
      <c r="C74" s="41" t="s">
        <v>605</v>
      </c>
      <c r="D74" s="41" t="s">
        <v>334</v>
      </c>
      <c r="E74" s="41" t="s">
        <v>334</v>
      </c>
      <c r="F74" s="41" t="s">
        <v>334</v>
      </c>
      <c r="G74" s="30">
        <v>70.0</v>
      </c>
    </row>
    <row r="75">
      <c r="A75" s="41" t="s">
        <v>380</v>
      </c>
      <c r="B75" s="41" t="s">
        <v>606</v>
      </c>
      <c r="C75" s="41" t="s">
        <v>607</v>
      </c>
      <c r="D75" s="41" t="s">
        <v>334</v>
      </c>
      <c r="E75" s="41" t="s">
        <v>334</v>
      </c>
      <c r="F75" s="41" t="s">
        <v>334</v>
      </c>
      <c r="G75" s="30">
        <v>80.0</v>
      </c>
    </row>
    <row r="76">
      <c r="A76" s="41" t="s">
        <v>380</v>
      </c>
      <c r="B76" s="41" t="s">
        <v>608</v>
      </c>
      <c r="C76" s="41" t="s">
        <v>609</v>
      </c>
      <c r="D76" s="41" t="s">
        <v>334</v>
      </c>
      <c r="E76" s="41" t="s">
        <v>334</v>
      </c>
      <c r="F76" s="41" t="s">
        <v>334</v>
      </c>
      <c r="G76" s="30">
        <v>90.0</v>
      </c>
    </row>
    <row r="77">
      <c r="A77" s="41" t="s">
        <v>380</v>
      </c>
      <c r="B77" s="41" t="s">
        <v>610</v>
      </c>
      <c r="C77" s="41" t="s">
        <v>611</v>
      </c>
      <c r="D77" s="41" t="s">
        <v>334</v>
      </c>
      <c r="E77" s="41" t="s">
        <v>334</v>
      </c>
      <c r="F77" s="41" t="s">
        <v>334</v>
      </c>
      <c r="G77" s="30">
        <v>100.0</v>
      </c>
    </row>
    <row r="78">
      <c r="A78" s="41" t="s">
        <v>380</v>
      </c>
      <c r="B78" s="41" t="s">
        <v>612</v>
      </c>
      <c r="C78" s="41" t="s">
        <v>613</v>
      </c>
      <c r="D78" s="41" t="s">
        <v>334</v>
      </c>
      <c r="E78" s="41" t="s">
        <v>334</v>
      </c>
      <c r="F78" s="41" t="s">
        <v>334</v>
      </c>
      <c r="G78" s="30">
        <v>110.0</v>
      </c>
    </row>
    <row r="79">
      <c r="A79" s="41" t="s">
        <v>380</v>
      </c>
      <c r="B79" s="41" t="s">
        <v>614</v>
      </c>
      <c r="C79" s="41" t="s">
        <v>615</v>
      </c>
      <c r="D79" s="41" t="s">
        <v>334</v>
      </c>
      <c r="E79" s="41" t="s">
        <v>334</v>
      </c>
      <c r="F79" s="41" t="s">
        <v>334</v>
      </c>
      <c r="G79" s="30">
        <v>120.0</v>
      </c>
    </row>
    <row r="80">
      <c r="A80" s="41" t="s">
        <v>383</v>
      </c>
      <c r="B80" s="41" t="s">
        <v>616</v>
      </c>
      <c r="C80" s="41" t="s">
        <v>617</v>
      </c>
      <c r="D80" s="41" t="s">
        <v>334</v>
      </c>
      <c r="E80" s="41" t="s">
        <v>334</v>
      </c>
      <c r="F80" s="41" t="s">
        <v>334</v>
      </c>
      <c r="G80" s="30">
        <v>10.0</v>
      </c>
    </row>
    <row r="81">
      <c r="A81" s="41" t="s">
        <v>383</v>
      </c>
      <c r="B81" s="41" t="s">
        <v>618</v>
      </c>
      <c r="C81" s="41" t="s">
        <v>619</v>
      </c>
      <c r="D81" s="41" t="s">
        <v>334</v>
      </c>
      <c r="E81" s="41" t="s">
        <v>334</v>
      </c>
      <c r="F81" s="41" t="s">
        <v>334</v>
      </c>
      <c r="G81" s="30">
        <v>20.0</v>
      </c>
    </row>
    <row r="82">
      <c r="A82" s="41" t="s">
        <v>383</v>
      </c>
      <c r="B82" s="41" t="s">
        <v>620</v>
      </c>
      <c r="C82" s="41" t="s">
        <v>622</v>
      </c>
      <c r="D82" s="41" t="s">
        <v>334</v>
      </c>
      <c r="E82" s="41" t="s">
        <v>334</v>
      </c>
      <c r="F82" s="41" t="s">
        <v>334</v>
      </c>
      <c r="G82" s="30">
        <v>30.0</v>
      </c>
    </row>
    <row r="83">
      <c r="A83" s="41" t="s">
        <v>383</v>
      </c>
      <c r="B83" s="41" t="s">
        <v>625</v>
      </c>
      <c r="C83" s="41" t="s">
        <v>627</v>
      </c>
      <c r="D83" s="41" t="s">
        <v>334</v>
      </c>
      <c r="E83" s="41" t="s">
        <v>334</v>
      </c>
      <c r="F83" s="41" t="s">
        <v>334</v>
      </c>
      <c r="G83" s="30">
        <v>40.0</v>
      </c>
    </row>
    <row r="84">
      <c r="A84" s="41" t="s">
        <v>383</v>
      </c>
      <c r="B84" s="41" t="s">
        <v>629</v>
      </c>
      <c r="C84" s="41" t="s">
        <v>630</v>
      </c>
      <c r="D84" s="41" t="s">
        <v>334</v>
      </c>
      <c r="E84" s="41" t="s">
        <v>334</v>
      </c>
      <c r="F84" s="41" t="s">
        <v>334</v>
      </c>
      <c r="G84" s="30">
        <v>50.0</v>
      </c>
    </row>
    <row r="85">
      <c r="A85" s="41" t="s">
        <v>383</v>
      </c>
      <c r="B85" s="41" t="s">
        <v>631</v>
      </c>
      <c r="C85" s="41" t="s">
        <v>632</v>
      </c>
      <c r="D85" s="41" t="s">
        <v>334</v>
      </c>
      <c r="E85" s="41" t="s">
        <v>334</v>
      </c>
      <c r="F85" s="41" t="s">
        <v>334</v>
      </c>
      <c r="G85" s="30">
        <v>60.0</v>
      </c>
    </row>
    <row r="86">
      <c r="A86" s="41" t="s">
        <v>383</v>
      </c>
      <c r="B86" s="41" t="s">
        <v>633</v>
      </c>
      <c r="C86" s="41" t="s">
        <v>634</v>
      </c>
      <c r="D86" s="41" t="s">
        <v>334</v>
      </c>
      <c r="E86" s="41" t="s">
        <v>334</v>
      </c>
      <c r="F86" s="41" t="s">
        <v>334</v>
      </c>
      <c r="G86" s="30">
        <v>70.0</v>
      </c>
    </row>
    <row r="87">
      <c r="A87" s="41" t="s">
        <v>385</v>
      </c>
      <c r="B87" s="41" t="s">
        <v>650</v>
      </c>
      <c r="C87" s="41" t="s">
        <v>651</v>
      </c>
      <c r="D87" s="41" t="s">
        <v>334</v>
      </c>
      <c r="E87" s="41" t="s">
        <v>334</v>
      </c>
      <c r="F87" s="41" t="s">
        <v>334</v>
      </c>
      <c r="G87" s="30">
        <v>10.0</v>
      </c>
    </row>
    <row r="88">
      <c r="A88" s="41" t="s">
        <v>385</v>
      </c>
      <c r="B88" s="41" t="s">
        <v>652</v>
      </c>
      <c r="C88" s="41" t="s">
        <v>653</v>
      </c>
      <c r="D88" s="41" t="s">
        <v>334</v>
      </c>
      <c r="E88" s="41" t="s">
        <v>334</v>
      </c>
      <c r="F88" s="41" t="s">
        <v>334</v>
      </c>
      <c r="G88" s="30">
        <v>20.0</v>
      </c>
    </row>
    <row r="89">
      <c r="A89" s="41" t="s">
        <v>385</v>
      </c>
      <c r="B89" s="41" t="s">
        <v>654</v>
      </c>
      <c r="C89" s="41" t="s">
        <v>655</v>
      </c>
      <c r="D89" s="41" t="s">
        <v>334</v>
      </c>
      <c r="E89" s="41" t="s">
        <v>334</v>
      </c>
      <c r="F89" s="41" t="s">
        <v>334</v>
      </c>
      <c r="G89" s="30">
        <v>30.0</v>
      </c>
    </row>
    <row r="90">
      <c r="A90" s="41" t="s">
        <v>385</v>
      </c>
      <c r="B90" s="41" t="s">
        <v>656</v>
      </c>
      <c r="C90" s="41" t="s">
        <v>657</v>
      </c>
      <c r="D90" s="41" t="s">
        <v>334</v>
      </c>
      <c r="E90" s="41" t="s">
        <v>334</v>
      </c>
      <c r="F90" s="41" t="s">
        <v>334</v>
      </c>
      <c r="G90" s="30">
        <v>40.0</v>
      </c>
    </row>
    <row r="91">
      <c r="A91" s="41" t="s">
        <v>385</v>
      </c>
      <c r="B91" s="41" t="s">
        <v>658</v>
      </c>
      <c r="C91" s="41" t="s">
        <v>659</v>
      </c>
      <c r="D91" s="41" t="s">
        <v>334</v>
      </c>
      <c r="E91" s="41" t="s">
        <v>334</v>
      </c>
      <c r="F91" s="41" t="s">
        <v>334</v>
      </c>
      <c r="G91" s="30">
        <v>50.0</v>
      </c>
    </row>
    <row r="92">
      <c r="A92" s="41" t="s">
        <v>385</v>
      </c>
      <c r="B92" s="41" t="s">
        <v>661</v>
      </c>
      <c r="C92" s="41" t="s">
        <v>663</v>
      </c>
      <c r="D92" s="41" t="s">
        <v>334</v>
      </c>
      <c r="E92" s="41" t="s">
        <v>334</v>
      </c>
      <c r="F92" s="41" t="s">
        <v>334</v>
      </c>
      <c r="G92" s="30">
        <v>60.0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428</v>
      </c>
      <c r="B1" s="1" t="s">
        <v>335</v>
      </c>
      <c r="C1" s="1" t="s">
        <v>310</v>
      </c>
      <c r="D1" s="1" t="s">
        <v>283</v>
      </c>
      <c r="E1" s="1" t="s">
        <v>338</v>
      </c>
      <c r="F1" s="1" t="s">
        <v>3</v>
      </c>
      <c r="G1" s="1" t="s">
        <v>2</v>
      </c>
      <c r="H1" s="1" t="s">
        <v>430</v>
      </c>
      <c r="I1" s="1" t="s">
        <v>10</v>
      </c>
      <c r="J1" s="1" t="s">
        <v>12</v>
      </c>
      <c r="K1" s="1" t="s">
        <v>432</v>
      </c>
      <c r="L1" s="1" t="s">
        <v>433</v>
      </c>
      <c r="M1" s="1" t="s">
        <v>434</v>
      </c>
      <c r="N1" s="1" t="s">
        <v>435</v>
      </c>
      <c r="O1" s="1" t="s">
        <v>437</v>
      </c>
      <c r="P1" s="1" t="s">
        <v>439</v>
      </c>
      <c r="Q1" s="1" t="s">
        <v>440</v>
      </c>
      <c r="R1" s="1" t="s">
        <v>441</v>
      </c>
      <c r="S1" s="1" t="s">
        <v>442</v>
      </c>
    </row>
    <row r="2">
      <c r="A2" s="41" t="s">
        <v>443</v>
      </c>
      <c r="B2" s="41" t="s">
        <v>349</v>
      </c>
      <c r="C2" s="41" t="s">
        <v>123</v>
      </c>
      <c r="D2" s="41" t="s">
        <v>352</v>
      </c>
      <c r="E2" s="41" t="s">
        <v>354</v>
      </c>
      <c r="F2" s="42">
        <v>46264.0</v>
      </c>
      <c r="G2" s="41" t="s">
        <v>355</v>
      </c>
      <c r="H2" s="42">
        <v>46264.0</v>
      </c>
      <c r="I2" s="41" t="s">
        <v>356</v>
      </c>
      <c r="J2" s="41" t="s">
        <v>450</v>
      </c>
      <c r="K2" s="30">
        <v>8.0</v>
      </c>
      <c r="L2" s="30">
        <v>0.0</v>
      </c>
      <c r="M2" s="30">
        <v>0.0</v>
      </c>
      <c r="O2" s="30">
        <v>0.0</v>
      </c>
      <c r="P2" s="41" t="s">
        <v>344</v>
      </c>
      <c r="S2" s="43">
        <v>46264.34286650463</v>
      </c>
    </row>
    <row r="3">
      <c r="A3" s="41" t="s">
        <v>453</v>
      </c>
      <c r="B3" s="41" t="s">
        <v>357</v>
      </c>
      <c r="C3" s="41" t="s">
        <v>123</v>
      </c>
      <c r="D3" s="41" t="s">
        <v>352</v>
      </c>
      <c r="E3" s="41" t="s">
        <v>358</v>
      </c>
      <c r="F3" s="42">
        <v>46264.0</v>
      </c>
      <c r="G3" s="41" t="s">
        <v>355</v>
      </c>
      <c r="H3" s="42">
        <v>46264.0</v>
      </c>
      <c r="I3" s="41" t="s">
        <v>356</v>
      </c>
      <c r="J3" s="41" t="s">
        <v>450</v>
      </c>
      <c r="K3" s="30">
        <v>6.0</v>
      </c>
      <c r="L3" s="30">
        <v>0.0</v>
      </c>
      <c r="M3" s="30">
        <v>0.0</v>
      </c>
      <c r="O3" s="30">
        <v>0.0</v>
      </c>
      <c r="P3" s="41" t="s">
        <v>344</v>
      </c>
      <c r="S3" s="43">
        <v>46264.34287078703</v>
      </c>
    </row>
    <row r="4">
      <c r="A4" s="41" t="s">
        <v>458</v>
      </c>
      <c r="B4" s="41" t="s">
        <v>359</v>
      </c>
      <c r="C4" s="41" t="s">
        <v>123</v>
      </c>
      <c r="D4" s="41" t="s">
        <v>352</v>
      </c>
      <c r="E4" s="41" t="s">
        <v>360</v>
      </c>
      <c r="F4" s="42">
        <v>46264.0</v>
      </c>
      <c r="G4" s="41" t="s">
        <v>355</v>
      </c>
      <c r="H4" s="42">
        <v>46264.0</v>
      </c>
      <c r="I4" s="41" t="s">
        <v>356</v>
      </c>
      <c r="J4" s="41" t="s">
        <v>450</v>
      </c>
      <c r="K4" s="30">
        <v>5.0</v>
      </c>
      <c r="L4" s="30">
        <v>0.0</v>
      </c>
      <c r="M4" s="30">
        <v>0.0</v>
      </c>
      <c r="O4" s="30">
        <v>0.0</v>
      </c>
      <c r="P4" s="41" t="s">
        <v>344</v>
      </c>
      <c r="S4" s="43">
        <v>46264.34288130787</v>
      </c>
    </row>
    <row r="5">
      <c r="A5" s="41" t="s">
        <v>463</v>
      </c>
      <c r="B5" s="41" t="s">
        <v>361</v>
      </c>
      <c r="C5" s="41" t="s">
        <v>123</v>
      </c>
      <c r="D5" s="41" t="s">
        <v>352</v>
      </c>
      <c r="E5" s="41" t="s">
        <v>362</v>
      </c>
      <c r="F5" s="42">
        <v>46264.0</v>
      </c>
      <c r="G5" s="41" t="s">
        <v>355</v>
      </c>
      <c r="H5" s="42">
        <v>46264.0</v>
      </c>
      <c r="I5" s="41" t="s">
        <v>363</v>
      </c>
      <c r="J5" s="41" t="s">
        <v>450</v>
      </c>
      <c r="K5" s="30">
        <v>5.0</v>
      </c>
      <c r="L5" s="30">
        <v>0.0</v>
      </c>
      <c r="M5" s="30">
        <v>0.0</v>
      </c>
      <c r="O5" s="30">
        <v>0.0</v>
      </c>
      <c r="P5" s="41" t="s">
        <v>344</v>
      </c>
      <c r="S5" s="43">
        <v>46264.34288946759</v>
      </c>
    </row>
    <row r="6">
      <c r="A6" s="41" t="s">
        <v>468</v>
      </c>
      <c r="B6" s="41" t="s">
        <v>364</v>
      </c>
      <c r="C6" s="41" t="s">
        <v>123</v>
      </c>
      <c r="D6" s="41" t="s">
        <v>352</v>
      </c>
      <c r="E6" s="41" t="s">
        <v>365</v>
      </c>
      <c r="F6" s="42">
        <v>46264.0</v>
      </c>
      <c r="G6" s="41" t="s">
        <v>355</v>
      </c>
      <c r="H6" s="42">
        <v>46264.0</v>
      </c>
      <c r="I6" s="41" t="s">
        <v>356</v>
      </c>
      <c r="J6" s="41" t="s">
        <v>450</v>
      </c>
      <c r="K6" s="30">
        <v>3.0</v>
      </c>
      <c r="L6" s="30">
        <v>0.0</v>
      </c>
      <c r="M6" s="30">
        <v>0.0</v>
      </c>
      <c r="O6" s="30">
        <v>0.0</v>
      </c>
      <c r="P6" s="41" t="s">
        <v>344</v>
      </c>
      <c r="S6" s="43">
        <v>46264.342894016205</v>
      </c>
    </row>
    <row r="7">
      <c r="A7" s="41" t="s">
        <v>473</v>
      </c>
      <c r="B7" s="41" t="s">
        <v>366</v>
      </c>
      <c r="C7" s="41" t="s">
        <v>123</v>
      </c>
      <c r="D7" s="41" t="s">
        <v>352</v>
      </c>
      <c r="E7" s="41" t="s">
        <v>367</v>
      </c>
      <c r="F7" s="42">
        <v>46264.0</v>
      </c>
      <c r="G7" s="41" t="s">
        <v>355</v>
      </c>
      <c r="H7" s="42">
        <v>46264.0</v>
      </c>
      <c r="I7" s="41" t="s">
        <v>356</v>
      </c>
      <c r="J7" s="41" t="s">
        <v>450</v>
      </c>
      <c r="K7" s="30">
        <v>4.0</v>
      </c>
      <c r="L7" s="30">
        <v>0.0</v>
      </c>
      <c r="M7" s="30">
        <v>0.0</v>
      </c>
      <c r="O7" s="30">
        <v>0.0</v>
      </c>
      <c r="P7" s="41" t="s">
        <v>344</v>
      </c>
      <c r="S7" s="43">
        <v>46264.34290739583</v>
      </c>
    </row>
    <row r="8">
      <c r="A8" s="41" t="s">
        <v>478</v>
      </c>
      <c r="B8" s="41" t="s">
        <v>368</v>
      </c>
      <c r="C8" s="41" t="s">
        <v>123</v>
      </c>
      <c r="D8" s="41" t="s">
        <v>352</v>
      </c>
      <c r="E8" s="41" t="s">
        <v>369</v>
      </c>
      <c r="F8" s="42">
        <v>46264.0</v>
      </c>
      <c r="G8" s="41" t="s">
        <v>355</v>
      </c>
      <c r="H8" s="42">
        <v>46264.0</v>
      </c>
      <c r="I8" s="41" t="s">
        <v>356</v>
      </c>
      <c r="J8" s="41" t="s">
        <v>450</v>
      </c>
      <c r="K8" s="30">
        <v>7.0</v>
      </c>
      <c r="L8" s="30">
        <v>0.0</v>
      </c>
      <c r="M8" s="30">
        <v>0.0</v>
      </c>
      <c r="O8" s="30">
        <v>0.0</v>
      </c>
      <c r="P8" s="41" t="s">
        <v>344</v>
      </c>
      <c r="S8" s="43">
        <v>46264.34291306713</v>
      </c>
    </row>
    <row r="9">
      <c r="A9" s="41" t="s">
        <v>479</v>
      </c>
      <c r="B9" s="41" t="s">
        <v>370</v>
      </c>
      <c r="C9" s="41" t="s">
        <v>123</v>
      </c>
      <c r="D9" s="41" t="s">
        <v>371</v>
      </c>
      <c r="E9" s="41" t="s">
        <v>372</v>
      </c>
      <c r="F9" s="41" t="s">
        <v>516</v>
      </c>
      <c r="G9" s="41" t="s">
        <v>373</v>
      </c>
      <c r="H9" s="42">
        <v>46264.0</v>
      </c>
      <c r="I9" s="41" t="s">
        <v>374</v>
      </c>
      <c r="J9" s="41" t="s">
        <v>450</v>
      </c>
      <c r="K9" s="30">
        <v>10.0</v>
      </c>
      <c r="L9" s="30">
        <v>0.0</v>
      </c>
      <c r="M9" s="30">
        <v>0.0</v>
      </c>
      <c r="O9" s="30">
        <v>0.0</v>
      </c>
      <c r="P9" s="41" t="s">
        <v>344</v>
      </c>
      <c r="S9" s="43">
        <v>46264.34291723379</v>
      </c>
    </row>
    <row r="10">
      <c r="A10" s="41" t="s">
        <v>517</v>
      </c>
      <c r="B10" s="41" t="s">
        <v>375</v>
      </c>
      <c r="C10" s="41" t="s">
        <v>107</v>
      </c>
      <c r="D10" s="41" t="s">
        <v>371</v>
      </c>
      <c r="E10" s="41" t="s">
        <v>376</v>
      </c>
      <c r="F10" s="41" t="s">
        <v>516</v>
      </c>
      <c r="G10" s="41" t="s">
        <v>373</v>
      </c>
      <c r="H10" s="42">
        <v>46264.0</v>
      </c>
      <c r="I10" s="41" t="s">
        <v>377</v>
      </c>
      <c r="J10" s="41" t="s">
        <v>518</v>
      </c>
      <c r="K10" s="30">
        <v>7.0</v>
      </c>
      <c r="L10" s="30">
        <v>2.0</v>
      </c>
      <c r="M10" s="30">
        <v>29.0</v>
      </c>
      <c r="O10" s="30">
        <v>0.0</v>
      </c>
      <c r="P10" s="41" t="s">
        <v>344</v>
      </c>
      <c r="S10" s="43">
        <v>46264.97053255787</v>
      </c>
    </row>
    <row r="11">
      <c r="A11" s="41" t="s">
        <v>519</v>
      </c>
      <c r="B11" s="41" t="s">
        <v>378</v>
      </c>
      <c r="C11" s="41" t="s">
        <v>96</v>
      </c>
      <c r="D11" s="41" t="s">
        <v>371</v>
      </c>
      <c r="E11" s="41" t="s">
        <v>379</v>
      </c>
      <c r="F11" s="41" t="s">
        <v>516</v>
      </c>
      <c r="G11" s="41" t="s">
        <v>373</v>
      </c>
      <c r="H11" s="42">
        <v>46264.0</v>
      </c>
      <c r="I11" s="41" t="s">
        <v>374</v>
      </c>
      <c r="J11" s="41" t="s">
        <v>450</v>
      </c>
      <c r="K11" s="30">
        <v>10.0</v>
      </c>
      <c r="L11" s="30">
        <v>0.0</v>
      </c>
      <c r="M11" s="30">
        <v>0.0</v>
      </c>
      <c r="O11" s="30">
        <v>0.0</v>
      </c>
      <c r="P11" s="41" t="s">
        <v>344</v>
      </c>
      <c r="S11" s="43">
        <v>46264.34293929398</v>
      </c>
    </row>
    <row r="12">
      <c r="A12" s="41" t="s">
        <v>520</v>
      </c>
      <c r="B12" s="41" t="s">
        <v>380</v>
      </c>
      <c r="C12" s="41" t="s">
        <v>96</v>
      </c>
      <c r="D12" s="41" t="s">
        <v>371</v>
      </c>
      <c r="E12" s="41" t="s">
        <v>381</v>
      </c>
      <c r="F12" s="41" t="s">
        <v>521</v>
      </c>
      <c r="G12" s="41" t="s">
        <v>382</v>
      </c>
      <c r="H12" s="42">
        <v>46264.0</v>
      </c>
      <c r="I12" s="41" t="s">
        <v>374</v>
      </c>
      <c r="J12" s="41" t="s">
        <v>450</v>
      </c>
      <c r="K12" s="30">
        <v>12.0</v>
      </c>
      <c r="L12" s="30">
        <v>0.0</v>
      </c>
      <c r="M12" s="30">
        <v>0.0</v>
      </c>
      <c r="O12" s="30">
        <v>0.0</v>
      </c>
      <c r="P12" s="41" t="s">
        <v>344</v>
      </c>
      <c r="S12" s="43">
        <v>46264.34294391204</v>
      </c>
    </row>
    <row r="13">
      <c r="A13" s="41" t="s">
        <v>522</v>
      </c>
      <c r="B13" s="41" t="s">
        <v>383</v>
      </c>
      <c r="C13" s="41" t="s">
        <v>146</v>
      </c>
      <c r="D13" s="41" t="s">
        <v>371</v>
      </c>
      <c r="E13" s="41" t="s">
        <v>384</v>
      </c>
      <c r="F13" s="41" t="s">
        <v>516</v>
      </c>
      <c r="G13" s="41" t="s">
        <v>373</v>
      </c>
      <c r="H13" s="42">
        <v>46264.0</v>
      </c>
      <c r="I13" s="41" t="s">
        <v>374</v>
      </c>
      <c r="J13" s="41" t="s">
        <v>450</v>
      </c>
      <c r="K13" s="30">
        <v>7.0</v>
      </c>
      <c r="L13" s="30">
        <v>0.0</v>
      </c>
      <c r="M13" s="30">
        <v>0.0</v>
      </c>
      <c r="O13" s="30">
        <v>0.0</v>
      </c>
      <c r="P13" s="41" t="s">
        <v>344</v>
      </c>
      <c r="S13" s="43">
        <v>46264.342948414356</v>
      </c>
    </row>
    <row r="14">
      <c r="A14" s="41" t="s">
        <v>523</v>
      </c>
      <c r="B14" s="41" t="s">
        <v>385</v>
      </c>
      <c r="C14" s="41" t="s">
        <v>386</v>
      </c>
      <c r="D14" s="41" t="s">
        <v>371</v>
      </c>
      <c r="E14" s="41" t="s">
        <v>387</v>
      </c>
      <c r="F14" s="41" t="s">
        <v>516</v>
      </c>
      <c r="G14" s="41" t="s">
        <v>373</v>
      </c>
      <c r="H14" s="42">
        <v>46264.0</v>
      </c>
      <c r="I14" s="41" t="s">
        <v>374</v>
      </c>
      <c r="J14" s="41" t="s">
        <v>450</v>
      </c>
      <c r="K14" s="30">
        <v>6.0</v>
      </c>
      <c r="L14" s="30">
        <v>0.0</v>
      </c>
      <c r="M14" s="30">
        <v>0.0</v>
      </c>
      <c r="O14" s="30">
        <v>0.0</v>
      </c>
      <c r="P14" s="41" t="s">
        <v>344</v>
      </c>
      <c r="S14" s="43">
        <v>46264.34295280093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323</v>
      </c>
      <c r="B1" s="1" t="s">
        <v>321</v>
      </c>
      <c r="C1" s="1" t="s">
        <v>480</v>
      </c>
      <c r="D1" s="1" t="s">
        <v>310</v>
      </c>
      <c r="E1" s="1" t="s">
        <v>481</v>
      </c>
      <c r="F1" s="1" t="s">
        <v>482</v>
      </c>
      <c r="G1" s="1" t="s">
        <v>483</v>
      </c>
      <c r="H1" s="1" t="s">
        <v>484</v>
      </c>
      <c r="I1" s="1" t="s">
        <v>485</v>
      </c>
      <c r="J1" s="1" t="s">
        <v>486</v>
      </c>
      <c r="K1" s="1" t="s">
        <v>487</v>
      </c>
      <c r="L1" s="1" t="s">
        <v>488</v>
      </c>
      <c r="M1" s="1" t="s">
        <v>489</v>
      </c>
      <c r="N1" s="1" t="s">
        <v>490</v>
      </c>
      <c r="O1" s="1" t="s">
        <v>491</v>
      </c>
      <c r="P1" s="1" t="s">
        <v>492</v>
      </c>
      <c r="Q1" s="1" t="s">
        <v>295</v>
      </c>
      <c r="R1" s="1" t="s">
        <v>10</v>
      </c>
      <c r="S1" s="1" t="s">
        <v>493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323</v>
      </c>
      <c r="B1" s="1" t="s">
        <v>480</v>
      </c>
      <c r="C1" s="1" t="s">
        <v>310</v>
      </c>
      <c r="D1" s="1" t="s">
        <v>494</v>
      </c>
      <c r="E1" s="1" t="s">
        <v>495</v>
      </c>
      <c r="F1" s="1" t="s">
        <v>496</v>
      </c>
      <c r="G1" s="1" t="s">
        <v>497</v>
      </c>
      <c r="H1" s="1" t="s">
        <v>498</v>
      </c>
      <c r="I1" s="1" t="s">
        <v>499</v>
      </c>
      <c r="J1" s="1" t="s">
        <v>500</v>
      </c>
      <c r="K1" s="1" t="s">
        <v>501</v>
      </c>
      <c r="L1" s="1" t="s">
        <v>502</v>
      </c>
      <c r="M1" s="1" t="s">
        <v>503</v>
      </c>
      <c r="N1" s="1" t="s">
        <v>504</v>
      </c>
      <c r="O1" s="1" t="s">
        <v>10</v>
      </c>
      <c r="P1" s="1" t="s">
        <v>35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75</v>
      </c>
      <c r="B1" s="1" t="s">
        <v>321</v>
      </c>
      <c r="C1" s="1" t="s">
        <v>323</v>
      </c>
      <c r="D1" s="1" t="s">
        <v>310</v>
      </c>
      <c r="E1" s="1" t="s">
        <v>325</v>
      </c>
      <c r="F1" s="1" t="s">
        <v>505</v>
      </c>
      <c r="G1" s="1" t="s">
        <v>506</v>
      </c>
      <c r="H1" s="1" t="s">
        <v>507</v>
      </c>
      <c r="I1" s="1" t="s">
        <v>508</v>
      </c>
      <c r="J1" s="1" t="s">
        <v>509</v>
      </c>
      <c r="K1" s="1" t="s">
        <v>510</v>
      </c>
      <c r="L1" s="1" t="s">
        <v>511</v>
      </c>
      <c r="M1" s="1" t="s">
        <v>512</v>
      </c>
      <c r="N1" s="1" t="s">
        <v>513</v>
      </c>
      <c r="O1" s="1" t="s">
        <v>514</v>
      </c>
      <c r="P1" s="1" t="s">
        <v>515</v>
      </c>
      <c r="Q1" s="1" t="s">
        <v>215</v>
      </c>
      <c r="R1" s="1" t="s">
        <v>10</v>
      </c>
      <c r="S1" s="1" t="s">
        <v>11</v>
      </c>
      <c r="T1" s="1" t="s">
        <v>208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75</v>
      </c>
      <c r="B1" s="1" t="s">
        <v>321</v>
      </c>
      <c r="C1" s="1" t="s">
        <v>310</v>
      </c>
      <c r="D1" s="1" t="s">
        <v>525</v>
      </c>
      <c r="E1" s="1" t="s">
        <v>527</v>
      </c>
      <c r="F1" s="1" t="s">
        <v>528</v>
      </c>
      <c r="G1" s="1" t="s">
        <v>529</v>
      </c>
      <c r="H1" s="1" t="s">
        <v>285</v>
      </c>
      <c r="I1" s="1" t="s">
        <v>530</v>
      </c>
      <c r="J1" s="1" t="s">
        <v>531</v>
      </c>
      <c r="K1" s="1" t="s">
        <v>10</v>
      </c>
      <c r="L1" s="1" t="s">
        <v>215</v>
      </c>
      <c r="M1" s="1" t="s">
        <v>208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621</v>
      </c>
      <c r="B1" s="1" t="s">
        <v>75</v>
      </c>
      <c r="C1" s="1" t="s">
        <v>4</v>
      </c>
      <c r="D1" s="1" t="s">
        <v>623</v>
      </c>
      <c r="E1" s="1" t="s">
        <v>624</v>
      </c>
      <c r="F1" s="1" t="s">
        <v>10</v>
      </c>
      <c r="G1" s="1" t="s">
        <v>11</v>
      </c>
      <c r="H1" s="1" t="s">
        <v>12</v>
      </c>
      <c r="I1" s="1" t="s">
        <v>626</v>
      </c>
      <c r="J1" s="1" t="s">
        <v>628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635</v>
      </c>
      <c r="B1" s="1" t="s">
        <v>75</v>
      </c>
      <c r="C1" s="1" t="s">
        <v>4</v>
      </c>
      <c r="D1" s="1" t="s">
        <v>636</v>
      </c>
      <c r="E1" s="1" t="s">
        <v>637</v>
      </c>
      <c r="F1" s="1" t="s">
        <v>638</v>
      </c>
      <c r="G1" s="1" t="s">
        <v>285</v>
      </c>
      <c r="H1" s="1" t="s">
        <v>639</v>
      </c>
      <c r="I1" s="1" t="s">
        <v>10</v>
      </c>
      <c r="J1" s="1" t="s">
        <v>12</v>
      </c>
      <c r="K1" s="1" t="s">
        <v>215</v>
      </c>
      <c r="L1" s="1" t="s">
        <v>11</v>
      </c>
      <c r="M1" s="1" t="s">
        <v>640</v>
      </c>
      <c r="N1" s="1" t="s">
        <v>641</v>
      </c>
      <c r="O1" s="1" t="s">
        <v>628</v>
      </c>
      <c r="P1" s="1" t="s">
        <v>642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643</v>
      </c>
      <c r="B1" s="1" t="s">
        <v>4</v>
      </c>
      <c r="C1" s="1" t="s">
        <v>636</v>
      </c>
      <c r="D1" s="1" t="s">
        <v>637</v>
      </c>
      <c r="E1" s="1" t="s">
        <v>644</v>
      </c>
      <c r="F1" s="1" t="s">
        <v>645</v>
      </c>
    </row>
    <row r="2">
      <c r="A2" s="43">
        <v>46264.94940965278</v>
      </c>
      <c r="B2" s="41" t="s">
        <v>646</v>
      </c>
      <c r="C2" s="41" t="s">
        <v>647</v>
      </c>
      <c r="D2" s="41" t="s">
        <v>648</v>
      </c>
      <c r="E2" s="41" t="s">
        <v>649</v>
      </c>
      <c r="F2" s="41" t="s">
        <v>330</v>
      </c>
    </row>
    <row r="3">
      <c r="A3" s="43">
        <v>46264.949411574074</v>
      </c>
      <c r="B3" s="41" t="s">
        <v>646</v>
      </c>
      <c r="C3" s="41" t="s">
        <v>647</v>
      </c>
      <c r="D3" s="41" t="s">
        <v>648</v>
      </c>
      <c r="E3" s="41" t="s">
        <v>649</v>
      </c>
      <c r="F3" s="41" t="s">
        <v>330</v>
      </c>
    </row>
    <row r="4">
      <c r="A4" s="43">
        <v>46264.94941209491</v>
      </c>
      <c r="B4" s="41" t="s">
        <v>646</v>
      </c>
      <c r="C4" s="41" t="s">
        <v>647</v>
      </c>
      <c r="D4" s="41" t="s">
        <v>648</v>
      </c>
      <c r="E4" s="41" t="s">
        <v>649</v>
      </c>
      <c r="F4" s="41" t="s">
        <v>330</v>
      </c>
    </row>
    <row r="5">
      <c r="A5" s="43">
        <v>46264.949415243056</v>
      </c>
      <c r="B5" s="41" t="s">
        <v>646</v>
      </c>
      <c r="C5" s="41" t="s">
        <v>647</v>
      </c>
      <c r="D5" s="41" t="s">
        <v>648</v>
      </c>
      <c r="E5" s="41" t="s">
        <v>649</v>
      </c>
      <c r="F5" s="41" t="s">
        <v>330</v>
      </c>
    </row>
    <row r="6">
      <c r="A6" s="43">
        <v>46264.94945320602</v>
      </c>
      <c r="B6" s="41" t="s">
        <v>646</v>
      </c>
      <c r="C6" s="41" t="s">
        <v>647</v>
      </c>
      <c r="D6" s="41" t="s">
        <v>648</v>
      </c>
      <c r="E6" s="41" t="s">
        <v>649</v>
      </c>
      <c r="F6" s="41" t="s">
        <v>330</v>
      </c>
    </row>
    <row r="7">
      <c r="A7" s="43">
        <v>46264.949453622685</v>
      </c>
      <c r="B7" s="41" t="s">
        <v>646</v>
      </c>
      <c r="C7" s="41" t="s">
        <v>647</v>
      </c>
      <c r="D7" s="41" t="s">
        <v>648</v>
      </c>
      <c r="E7" s="41" t="s">
        <v>649</v>
      </c>
      <c r="F7" s="41" t="s">
        <v>330</v>
      </c>
    </row>
    <row r="8">
      <c r="A8" s="43">
        <v>46264.94954538194</v>
      </c>
      <c r="B8" s="41" t="s">
        <v>646</v>
      </c>
      <c r="C8" s="41" t="s">
        <v>647</v>
      </c>
      <c r="D8" s="41" t="s">
        <v>648</v>
      </c>
      <c r="E8" s="41" t="s">
        <v>649</v>
      </c>
      <c r="F8" s="41" t="s">
        <v>330</v>
      </c>
    </row>
    <row r="9">
      <c r="A9" s="43">
        <v>46264.94954621528</v>
      </c>
      <c r="B9" s="41" t="s">
        <v>646</v>
      </c>
      <c r="C9" s="41" t="s">
        <v>647</v>
      </c>
      <c r="D9" s="41" t="s">
        <v>648</v>
      </c>
      <c r="E9" s="41" t="s">
        <v>649</v>
      </c>
      <c r="F9" s="41" t="s">
        <v>330</v>
      </c>
    </row>
    <row r="10">
      <c r="A10" s="43">
        <v>46264.949544884264</v>
      </c>
      <c r="B10" s="41" t="s">
        <v>646</v>
      </c>
      <c r="C10" s="41" t="s">
        <v>647</v>
      </c>
      <c r="D10" s="41" t="s">
        <v>648</v>
      </c>
      <c r="E10" s="41" t="s">
        <v>649</v>
      </c>
      <c r="F10" s="41" t="s">
        <v>330</v>
      </c>
    </row>
    <row r="11">
      <c r="A11" s="43">
        <v>46264.97039091436</v>
      </c>
      <c r="C11" s="41" t="s">
        <v>660</v>
      </c>
      <c r="D11" s="41" t="s">
        <v>662</v>
      </c>
      <c r="E11" s="41" t="s">
        <v>664</v>
      </c>
      <c r="F11" s="41" t="s">
        <v>330</v>
      </c>
    </row>
    <row r="12">
      <c r="A12" s="43">
        <v>46264.970402314815</v>
      </c>
      <c r="C12" s="41" t="s">
        <v>660</v>
      </c>
      <c r="D12" s="41" t="s">
        <v>662</v>
      </c>
      <c r="E12" s="41" t="s">
        <v>665</v>
      </c>
      <c r="F12" s="41" t="s">
        <v>330</v>
      </c>
    </row>
    <row r="13">
      <c r="A13" s="43">
        <v>46264.970404328706</v>
      </c>
      <c r="C13" s="41" t="s">
        <v>660</v>
      </c>
      <c r="D13" s="41" t="s">
        <v>666</v>
      </c>
      <c r="E13" s="41" t="s">
        <v>667</v>
      </c>
      <c r="F13" s="41" t="s">
        <v>330</v>
      </c>
    </row>
    <row r="14">
      <c r="A14" s="43">
        <v>46265.06602377315</v>
      </c>
      <c r="B14" s="41" t="s">
        <v>646</v>
      </c>
      <c r="C14" s="41" t="s">
        <v>647</v>
      </c>
      <c r="D14" s="41" t="s">
        <v>648</v>
      </c>
      <c r="E14" s="41" t="s">
        <v>649</v>
      </c>
      <c r="F14" s="41" t="s">
        <v>330</v>
      </c>
    </row>
    <row r="15">
      <c r="A15" s="43">
        <v>46265.06603581019</v>
      </c>
      <c r="B15" s="41" t="s">
        <v>646</v>
      </c>
      <c r="C15" s="41" t="s">
        <v>647</v>
      </c>
      <c r="D15" s="41" t="s">
        <v>648</v>
      </c>
      <c r="E15" s="41" t="s">
        <v>649</v>
      </c>
      <c r="F15" s="41" t="s">
        <v>330</v>
      </c>
    </row>
    <row r="16">
      <c r="A16" s="43">
        <v>46266.538905625</v>
      </c>
      <c r="B16" s="41" t="s">
        <v>668</v>
      </c>
      <c r="C16" s="41" t="s">
        <v>647</v>
      </c>
      <c r="D16" s="41" t="s">
        <v>648</v>
      </c>
      <c r="F16" s="41" t="s">
        <v>330</v>
      </c>
    </row>
    <row r="17">
      <c r="A17" s="43">
        <v>46266.538912627315</v>
      </c>
      <c r="B17" s="41" t="s">
        <v>668</v>
      </c>
      <c r="C17" s="41" t="s">
        <v>647</v>
      </c>
      <c r="D17" s="41" t="s">
        <v>648</v>
      </c>
      <c r="F17" s="41" t="s">
        <v>330</v>
      </c>
    </row>
    <row r="18">
      <c r="A18" s="43">
        <v>46266.53891074074</v>
      </c>
      <c r="B18" s="41" t="s">
        <v>668</v>
      </c>
      <c r="C18" s="41" t="s">
        <v>647</v>
      </c>
      <c r="D18" s="41" t="s">
        <v>648</v>
      </c>
      <c r="F18" s="41" t="s">
        <v>330</v>
      </c>
    </row>
    <row r="19">
      <c r="A19" s="43">
        <v>46266.5389203125</v>
      </c>
      <c r="B19" s="41" t="s">
        <v>668</v>
      </c>
      <c r="C19" s="41" t="s">
        <v>647</v>
      </c>
      <c r="D19" s="41" t="s">
        <v>648</v>
      </c>
      <c r="F19" s="41" t="s">
        <v>330</v>
      </c>
    </row>
    <row r="20">
      <c r="A20" s="43">
        <v>46266.53892875</v>
      </c>
      <c r="B20" s="41" t="s">
        <v>668</v>
      </c>
      <c r="C20" s="41" t="s">
        <v>647</v>
      </c>
      <c r="D20" s="41" t="s">
        <v>648</v>
      </c>
      <c r="F20" s="41" t="s">
        <v>330</v>
      </c>
    </row>
    <row r="21">
      <c r="A21" s="43">
        <v>46266.53893091435</v>
      </c>
      <c r="B21" s="41" t="s">
        <v>668</v>
      </c>
      <c r="C21" s="41" t="s">
        <v>647</v>
      </c>
      <c r="D21" s="41" t="s">
        <v>648</v>
      </c>
      <c r="F21" s="41" t="s">
        <v>330</v>
      </c>
    </row>
    <row r="22">
      <c r="A22" s="43">
        <v>46266.538933240736</v>
      </c>
      <c r="B22" s="41" t="s">
        <v>668</v>
      </c>
      <c r="C22" s="41" t="s">
        <v>647</v>
      </c>
      <c r="D22" s="41" t="s">
        <v>648</v>
      </c>
      <c r="F22" s="41" t="s">
        <v>330</v>
      </c>
    </row>
    <row r="23">
      <c r="A23" s="43">
        <v>46266.53893469907</v>
      </c>
      <c r="B23" s="41" t="s">
        <v>668</v>
      </c>
      <c r="C23" s="41" t="s">
        <v>647</v>
      </c>
      <c r="D23" s="41" t="s">
        <v>648</v>
      </c>
      <c r="F23" s="41" t="s">
        <v>330</v>
      </c>
    </row>
    <row r="24">
      <c r="A24" s="43">
        <v>46266.53899074074</v>
      </c>
      <c r="B24" s="41" t="s">
        <v>668</v>
      </c>
      <c r="C24" s="41" t="s">
        <v>647</v>
      </c>
      <c r="D24" s="41" t="s">
        <v>648</v>
      </c>
      <c r="F24" s="41" t="s">
        <v>330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669</v>
      </c>
      <c r="B1" s="1" t="s">
        <v>670</v>
      </c>
      <c r="C1" s="1" t="s">
        <v>4</v>
      </c>
      <c r="D1" s="1" t="s">
        <v>505</v>
      </c>
      <c r="E1" s="1" t="s">
        <v>671</v>
      </c>
      <c r="F1" s="1" t="s">
        <v>285</v>
      </c>
      <c r="G1" s="1" t="s">
        <v>10</v>
      </c>
      <c r="H1" s="1" t="s">
        <v>12</v>
      </c>
      <c r="I1" s="1" t="s">
        <v>636</v>
      </c>
      <c r="J1" s="1" t="s">
        <v>637</v>
      </c>
      <c r="K1" s="1" t="s">
        <v>11</v>
      </c>
      <c r="L1" s="1" t="s">
        <v>672</v>
      </c>
    </row>
    <row r="2">
      <c r="A2" s="41" t="s">
        <v>673</v>
      </c>
      <c r="B2" s="43">
        <v>46264.3429596875</v>
      </c>
      <c r="C2" s="41" t="s">
        <v>123</v>
      </c>
      <c r="D2" s="41" t="s">
        <v>674</v>
      </c>
      <c r="E2" s="41" t="s">
        <v>675</v>
      </c>
      <c r="F2" s="41" t="s">
        <v>676</v>
      </c>
      <c r="G2" s="41" t="s">
        <v>374</v>
      </c>
      <c r="H2" s="41" t="s">
        <v>677</v>
      </c>
      <c r="I2" s="41" t="s">
        <v>678</v>
      </c>
      <c r="J2" s="41" t="s">
        <v>479</v>
      </c>
    </row>
    <row r="3">
      <c r="A3" s="41" t="s">
        <v>679</v>
      </c>
      <c r="B3" s="43">
        <v>46264.34296490741</v>
      </c>
      <c r="C3" s="41" t="s">
        <v>107</v>
      </c>
      <c r="D3" s="41" t="s">
        <v>674</v>
      </c>
      <c r="E3" s="41" t="s">
        <v>680</v>
      </c>
      <c r="F3" s="41" t="s">
        <v>676</v>
      </c>
      <c r="G3" s="41" t="s">
        <v>377</v>
      </c>
      <c r="H3" s="41" t="s">
        <v>677</v>
      </c>
      <c r="I3" s="41" t="s">
        <v>678</v>
      </c>
      <c r="J3" s="41" t="s">
        <v>517</v>
      </c>
    </row>
    <row r="4">
      <c r="A4" s="41" t="s">
        <v>681</v>
      </c>
      <c r="B4" s="43">
        <v>46264.342968784724</v>
      </c>
      <c r="C4" s="41" t="s">
        <v>96</v>
      </c>
      <c r="D4" s="41" t="s">
        <v>674</v>
      </c>
      <c r="E4" s="41" t="s">
        <v>682</v>
      </c>
      <c r="F4" s="41" t="s">
        <v>676</v>
      </c>
      <c r="G4" s="41" t="s">
        <v>374</v>
      </c>
      <c r="H4" s="41" t="s">
        <v>677</v>
      </c>
      <c r="I4" s="41" t="s">
        <v>678</v>
      </c>
      <c r="J4" s="41" t="s">
        <v>519</v>
      </c>
    </row>
    <row r="5">
      <c r="A5" s="41" t="s">
        <v>683</v>
      </c>
      <c r="B5" s="43">
        <v>46264.342972557875</v>
      </c>
      <c r="C5" s="41" t="s">
        <v>96</v>
      </c>
      <c r="D5" s="41" t="s">
        <v>674</v>
      </c>
      <c r="E5" s="41" t="s">
        <v>684</v>
      </c>
      <c r="F5" s="41" t="s">
        <v>676</v>
      </c>
      <c r="G5" s="41" t="s">
        <v>374</v>
      </c>
      <c r="H5" s="41" t="s">
        <v>677</v>
      </c>
      <c r="I5" s="41" t="s">
        <v>678</v>
      </c>
      <c r="J5" s="41" t="s">
        <v>520</v>
      </c>
    </row>
    <row r="6">
      <c r="A6" s="41" t="s">
        <v>685</v>
      </c>
      <c r="B6" s="43">
        <v>46264.342983912036</v>
      </c>
      <c r="C6" s="41" t="s">
        <v>146</v>
      </c>
      <c r="D6" s="41" t="s">
        <v>674</v>
      </c>
      <c r="E6" s="41" t="s">
        <v>686</v>
      </c>
      <c r="F6" s="41" t="s">
        <v>676</v>
      </c>
      <c r="G6" s="41" t="s">
        <v>374</v>
      </c>
      <c r="H6" s="41" t="s">
        <v>677</v>
      </c>
      <c r="I6" s="41" t="s">
        <v>678</v>
      </c>
      <c r="J6" s="41" t="s">
        <v>522</v>
      </c>
    </row>
    <row r="7">
      <c r="A7" s="41" t="s">
        <v>687</v>
      </c>
      <c r="B7" s="43">
        <v>46264.342987615746</v>
      </c>
      <c r="C7" s="41" t="s">
        <v>386</v>
      </c>
      <c r="D7" s="41" t="s">
        <v>674</v>
      </c>
      <c r="E7" s="41" t="s">
        <v>688</v>
      </c>
      <c r="F7" s="41" t="s">
        <v>676</v>
      </c>
      <c r="G7" s="41" t="s">
        <v>374</v>
      </c>
      <c r="H7" s="41" t="s">
        <v>677</v>
      </c>
      <c r="I7" s="41" t="s">
        <v>678</v>
      </c>
      <c r="J7" s="41" t="s">
        <v>523</v>
      </c>
    </row>
    <row r="8">
      <c r="A8" s="41" t="s">
        <v>689</v>
      </c>
      <c r="B8" s="43">
        <v>46264.34300436343</v>
      </c>
      <c r="C8" s="41" t="s">
        <v>690</v>
      </c>
      <c r="D8" s="41" t="s">
        <v>691</v>
      </c>
      <c r="E8" s="41" t="s">
        <v>692</v>
      </c>
      <c r="F8" s="41" t="s">
        <v>693</v>
      </c>
      <c r="G8" s="41" t="s">
        <v>99</v>
      </c>
      <c r="H8" s="41" t="s">
        <v>677</v>
      </c>
      <c r="I8" s="41" t="s">
        <v>694</v>
      </c>
      <c r="J8" s="41" t="s">
        <v>695</v>
      </c>
    </row>
    <row r="9">
      <c r="A9" s="41" t="s">
        <v>696</v>
      </c>
      <c r="B9" s="43">
        <v>46264.34301693287</v>
      </c>
      <c r="C9" s="41" t="s">
        <v>107</v>
      </c>
      <c r="D9" s="41" t="s">
        <v>691</v>
      </c>
      <c r="E9" s="41" t="s">
        <v>697</v>
      </c>
      <c r="F9" s="41" t="s">
        <v>693</v>
      </c>
      <c r="G9" s="41" t="s">
        <v>109</v>
      </c>
      <c r="H9" s="41" t="s">
        <v>677</v>
      </c>
      <c r="I9" s="41" t="s">
        <v>694</v>
      </c>
      <c r="J9" s="41" t="s">
        <v>698</v>
      </c>
    </row>
    <row r="10">
      <c r="A10" s="41" t="s">
        <v>699</v>
      </c>
      <c r="B10" s="43">
        <v>46264.34302587963</v>
      </c>
      <c r="C10" s="41" t="s">
        <v>107</v>
      </c>
      <c r="D10" s="41" t="s">
        <v>691</v>
      </c>
      <c r="E10" s="41" t="s">
        <v>700</v>
      </c>
      <c r="F10" s="41" t="s">
        <v>693</v>
      </c>
      <c r="G10" s="41" t="s">
        <v>109</v>
      </c>
      <c r="H10" s="41" t="s">
        <v>677</v>
      </c>
      <c r="I10" s="41" t="s">
        <v>694</v>
      </c>
      <c r="J10" s="41" t="s">
        <v>701</v>
      </c>
    </row>
    <row r="11">
      <c r="A11" s="41" t="s">
        <v>702</v>
      </c>
      <c r="B11" s="43">
        <v>46264.34302950231</v>
      </c>
      <c r="C11" s="41" t="s">
        <v>703</v>
      </c>
      <c r="D11" s="41" t="s">
        <v>691</v>
      </c>
      <c r="E11" s="41" t="s">
        <v>704</v>
      </c>
      <c r="F11" s="41" t="s">
        <v>693</v>
      </c>
      <c r="G11" s="41" t="s">
        <v>109</v>
      </c>
      <c r="H11" s="41" t="s">
        <v>677</v>
      </c>
      <c r="I11" s="41" t="s">
        <v>694</v>
      </c>
      <c r="J11" s="41" t="s">
        <v>705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643</v>
      </c>
      <c r="B1" s="1" t="s">
        <v>706</v>
      </c>
      <c r="C1" s="1" t="s">
        <v>707</v>
      </c>
      <c r="D1" s="1" t="s">
        <v>4</v>
      </c>
      <c r="E1" s="1" t="s">
        <v>636</v>
      </c>
      <c r="F1" s="1" t="s">
        <v>637</v>
      </c>
      <c r="G1" s="1" t="s">
        <v>708</v>
      </c>
      <c r="H1" s="1" t="s">
        <v>709</v>
      </c>
      <c r="I1" s="1" t="s">
        <v>710</v>
      </c>
    </row>
    <row r="2">
      <c r="A2" s="43">
        <v>46264.949413599534</v>
      </c>
      <c r="B2" s="41" t="s">
        <v>330</v>
      </c>
      <c r="C2" s="41" t="s">
        <v>711</v>
      </c>
      <c r="D2" s="41" t="s">
        <v>646</v>
      </c>
      <c r="E2" s="41" t="s">
        <v>647</v>
      </c>
      <c r="F2" s="41" t="s">
        <v>648</v>
      </c>
      <c r="H2" s="41" t="s">
        <v>649</v>
      </c>
    </row>
    <row r="3">
      <c r="A3" s="43">
        <v>46264.94941715278</v>
      </c>
      <c r="B3" s="41" t="s">
        <v>330</v>
      </c>
      <c r="C3" s="41" t="s">
        <v>711</v>
      </c>
      <c r="D3" s="41" t="s">
        <v>646</v>
      </c>
      <c r="E3" s="41" t="s">
        <v>647</v>
      </c>
      <c r="F3" s="41" t="s">
        <v>648</v>
      </c>
      <c r="H3" s="41" t="s">
        <v>649</v>
      </c>
    </row>
    <row r="4">
      <c r="A4" s="43">
        <v>46264.949431180554</v>
      </c>
      <c r="B4" s="41" t="s">
        <v>330</v>
      </c>
      <c r="C4" s="41" t="s">
        <v>711</v>
      </c>
      <c r="D4" s="41" t="s">
        <v>646</v>
      </c>
      <c r="E4" s="41" t="s">
        <v>647</v>
      </c>
      <c r="F4" s="41" t="s">
        <v>648</v>
      </c>
      <c r="H4" s="41" t="s">
        <v>649</v>
      </c>
    </row>
    <row r="5">
      <c r="A5" s="43">
        <v>46264.949455995375</v>
      </c>
      <c r="B5" s="41" t="s">
        <v>330</v>
      </c>
      <c r="C5" s="41" t="s">
        <v>711</v>
      </c>
      <c r="D5" s="41" t="s">
        <v>646</v>
      </c>
      <c r="E5" s="41" t="s">
        <v>647</v>
      </c>
      <c r="F5" s="41" t="s">
        <v>648</v>
      </c>
      <c r="H5" s="41" t="s">
        <v>649</v>
      </c>
    </row>
    <row r="6">
      <c r="A6" s="43">
        <v>46264.94948539352</v>
      </c>
      <c r="B6" s="41" t="s">
        <v>330</v>
      </c>
      <c r="C6" s="41" t="s">
        <v>711</v>
      </c>
      <c r="D6" s="41" t="s">
        <v>646</v>
      </c>
      <c r="E6" s="41" t="s">
        <v>647</v>
      </c>
      <c r="F6" s="41" t="s">
        <v>648</v>
      </c>
      <c r="H6" s="41" t="s">
        <v>649</v>
      </c>
    </row>
    <row r="7">
      <c r="A7" s="43">
        <v>46264.94946146991</v>
      </c>
      <c r="B7" s="41" t="s">
        <v>330</v>
      </c>
      <c r="C7" s="41" t="s">
        <v>711</v>
      </c>
      <c r="D7" s="41" t="s">
        <v>646</v>
      </c>
      <c r="E7" s="41" t="s">
        <v>647</v>
      </c>
      <c r="F7" s="41" t="s">
        <v>648</v>
      </c>
      <c r="H7" s="41" t="s">
        <v>649</v>
      </c>
    </row>
    <row r="8">
      <c r="A8" s="43">
        <v>46264.94955085649</v>
      </c>
      <c r="B8" s="41" t="s">
        <v>330</v>
      </c>
      <c r="C8" s="41" t="s">
        <v>711</v>
      </c>
      <c r="D8" s="41" t="s">
        <v>646</v>
      </c>
      <c r="E8" s="41" t="s">
        <v>647</v>
      </c>
      <c r="F8" s="41" t="s">
        <v>648</v>
      </c>
      <c r="H8" s="41" t="s">
        <v>649</v>
      </c>
    </row>
    <row r="9">
      <c r="A9" s="43">
        <v>46264.949549247685</v>
      </c>
      <c r="B9" s="41" t="s">
        <v>330</v>
      </c>
      <c r="C9" s="41" t="s">
        <v>711</v>
      </c>
      <c r="D9" s="41" t="s">
        <v>646</v>
      </c>
      <c r="E9" s="41" t="s">
        <v>647</v>
      </c>
      <c r="F9" s="41" t="s">
        <v>648</v>
      </c>
      <c r="H9" s="41" t="s">
        <v>649</v>
      </c>
    </row>
    <row r="10">
      <c r="A10" s="43">
        <v>46264.949553136576</v>
      </c>
      <c r="B10" s="41" t="s">
        <v>330</v>
      </c>
      <c r="C10" s="41" t="s">
        <v>711</v>
      </c>
      <c r="D10" s="41" t="s">
        <v>646</v>
      </c>
      <c r="E10" s="41" t="s">
        <v>647</v>
      </c>
      <c r="F10" s="41" t="s">
        <v>648</v>
      </c>
      <c r="H10" s="41" t="s">
        <v>649</v>
      </c>
    </row>
    <row r="11">
      <c r="A11" s="43">
        <v>46264.97047996528</v>
      </c>
      <c r="B11" s="41" t="s">
        <v>330</v>
      </c>
      <c r="C11" s="41" t="s">
        <v>712</v>
      </c>
      <c r="E11" s="41" t="s">
        <v>660</v>
      </c>
      <c r="F11" s="41" t="s">
        <v>666</v>
      </c>
      <c r="H11" s="41" t="s">
        <v>713</v>
      </c>
    </row>
    <row r="12">
      <c r="A12" s="43">
        <v>46264.9705225463</v>
      </c>
      <c r="B12" s="41" t="s">
        <v>330</v>
      </c>
      <c r="C12" s="41" t="s">
        <v>712</v>
      </c>
      <c r="E12" s="41" t="s">
        <v>660</v>
      </c>
      <c r="F12" s="41" t="s">
        <v>662</v>
      </c>
      <c r="H12" s="41" t="s">
        <v>713</v>
      </c>
    </row>
    <row r="13">
      <c r="A13" s="43">
        <v>46264.970631689815</v>
      </c>
      <c r="B13" s="41" t="s">
        <v>330</v>
      </c>
      <c r="C13" s="41" t="s">
        <v>712</v>
      </c>
      <c r="E13" s="41" t="s">
        <v>660</v>
      </c>
      <c r="F13" s="41" t="s">
        <v>662</v>
      </c>
      <c r="H13" s="41" t="s">
        <v>713</v>
      </c>
    </row>
    <row r="14">
      <c r="A14" s="43">
        <v>46265.06602646991</v>
      </c>
      <c r="B14" s="41" t="s">
        <v>330</v>
      </c>
      <c r="C14" s="41" t="s">
        <v>711</v>
      </c>
      <c r="D14" s="41" t="s">
        <v>646</v>
      </c>
      <c r="E14" s="41" t="s">
        <v>647</v>
      </c>
      <c r="F14" s="41" t="s">
        <v>648</v>
      </c>
      <c r="H14" s="41" t="s">
        <v>649</v>
      </c>
    </row>
    <row r="15">
      <c r="A15" s="43">
        <v>46265.06603887731</v>
      </c>
      <c r="B15" s="41" t="s">
        <v>330</v>
      </c>
      <c r="C15" s="41" t="s">
        <v>711</v>
      </c>
      <c r="D15" s="41" t="s">
        <v>646</v>
      </c>
      <c r="E15" s="41" t="s">
        <v>647</v>
      </c>
      <c r="F15" s="41" t="s">
        <v>648</v>
      </c>
      <c r="H15" s="41" t="s">
        <v>649</v>
      </c>
    </row>
    <row r="16">
      <c r="A16" s="43">
        <v>46266.538908877315</v>
      </c>
      <c r="B16" s="41" t="s">
        <v>330</v>
      </c>
      <c r="C16" s="41" t="s">
        <v>711</v>
      </c>
      <c r="D16" s="41" t="s">
        <v>668</v>
      </c>
      <c r="E16" s="41" t="s">
        <v>647</v>
      </c>
      <c r="F16" s="41" t="s">
        <v>648</v>
      </c>
    </row>
    <row r="17">
      <c r="A17" s="43">
        <v>46266.53892215277</v>
      </c>
      <c r="B17" s="41" t="s">
        <v>330</v>
      </c>
      <c r="C17" s="41" t="s">
        <v>711</v>
      </c>
      <c r="D17" s="41" t="s">
        <v>668</v>
      </c>
      <c r="E17" s="41" t="s">
        <v>647</v>
      </c>
      <c r="F17" s="41" t="s">
        <v>648</v>
      </c>
    </row>
    <row r="18">
      <c r="A18" s="43">
        <v>46266.53892689815</v>
      </c>
      <c r="B18" s="41" t="s">
        <v>330</v>
      </c>
      <c r="C18" s="41" t="s">
        <v>711</v>
      </c>
      <c r="D18" s="41" t="s">
        <v>668</v>
      </c>
      <c r="E18" s="41" t="s">
        <v>647</v>
      </c>
      <c r="F18" s="41" t="s">
        <v>648</v>
      </c>
    </row>
    <row r="19">
      <c r="A19" s="43">
        <v>46266.5389259375</v>
      </c>
      <c r="B19" s="41" t="s">
        <v>330</v>
      </c>
      <c r="C19" s="41" t="s">
        <v>711</v>
      </c>
      <c r="D19" s="41" t="s">
        <v>668</v>
      </c>
      <c r="E19" s="41" t="s">
        <v>647</v>
      </c>
      <c r="F19" s="41" t="s">
        <v>648</v>
      </c>
    </row>
    <row r="20">
      <c r="A20" s="43">
        <v>46266.53893381944</v>
      </c>
      <c r="B20" s="41" t="s">
        <v>330</v>
      </c>
      <c r="C20" s="41" t="s">
        <v>711</v>
      </c>
      <c r="D20" s="41" t="s">
        <v>668</v>
      </c>
      <c r="E20" s="41" t="s">
        <v>647</v>
      </c>
      <c r="F20" s="41" t="s">
        <v>648</v>
      </c>
    </row>
    <row r="21">
      <c r="A21" s="43">
        <v>46266.53893660879</v>
      </c>
      <c r="B21" s="41" t="s">
        <v>330</v>
      </c>
      <c r="C21" s="41" t="s">
        <v>711</v>
      </c>
      <c r="D21" s="41" t="s">
        <v>668</v>
      </c>
      <c r="E21" s="41" t="s">
        <v>647</v>
      </c>
      <c r="F21" s="41" t="s">
        <v>648</v>
      </c>
    </row>
    <row r="22">
      <c r="A22" s="43">
        <v>46266.53894041666</v>
      </c>
      <c r="B22" s="41" t="s">
        <v>330</v>
      </c>
      <c r="C22" s="41" t="s">
        <v>711</v>
      </c>
      <c r="D22" s="41" t="s">
        <v>668</v>
      </c>
      <c r="E22" s="41" t="s">
        <v>647</v>
      </c>
      <c r="F22" s="41" t="s">
        <v>648</v>
      </c>
    </row>
    <row r="23">
      <c r="A23" s="43">
        <v>46266.53893969908</v>
      </c>
      <c r="B23" s="41" t="s">
        <v>330</v>
      </c>
      <c r="C23" s="41" t="s">
        <v>711</v>
      </c>
      <c r="D23" s="41" t="s">
        <v>668</v>
      </c>
      <c r="E23" s="41" t="s">
        <v>647</v>
      </c>
      <c r="F23" s="41" t="s">
        <v>648</v>
      </c>
    </row>
    <row r="24">
      <c r="A24" s="43">
        <v>46266.53899487268</v>
      </c>
      <c r="B24" s="41" t="s">
        <v>330</v>
      </c>
      <c r="C24" s="41" t="s">
        <v>711</v>
      </c>
      <c r="D24" s="41" t="s">
        <v>668</v>
      </c>
      <c r="E24" s="41" t="s">
        <v>647</v>
      </c>
      <c r="F24" s="41" t="s">
        <v>648</v>
      </c>
    </row>
    <row r="25">
      <c r="A25" s="43">
        <v>46266.54004450231</v>
      </c>
      <c r="B25" s="41" t="s">
        <v>330</v>
      </c>
      <c r="C25" s="41" t="s">
        <v>714</v>
      </c>
      <c r="D25" s="41" t="s">
        <v>668</v>
      </c>
      <c r="E25" s="41" t="s">
        <v>694</v>
      </c>
      <c r="F25" s="41" t="s">
        <v>715</v>
      </c>
      <c r="H25" s="41" t="s">
        <v>677</v>
      </c>
    </row>
    <row r="26">
      <c r="A26" s="43">
        <v>46266.54005576389</v>
      </c>
      <c r="B26" s="41" t="s">
        <v>330</v>
      </c>
      <c r="C26" s="41" t="s">
        <v>714</v>
      </c>
      <c r="D26" s="41" t="s">
        <v>668</v>
      </c>
      <c r="E26" s="41" t="s">
        <v>694</v>
      </c>
      <c r="F26" s="41" t="s">
        <v>716</v>
      </c>
      <c r="H26" s="41" t="s">
        <v>677</v>
      </c>
    </row>
    <row r="27">
      <c r="A27" s="43">
        <v>46266.54006222222</v>
      </c>
      <c r="B27" s="41" t="s">
        <v>330</v>
      </c>
      <c r="C27" s="41" t="s">
        <v>714</v>
      </c>
      <c r="D27" s="41" t="s">
        <v>668</v>
      </c>
      <c r="E27" s="41" t="s">
        <v>694</v>
      </c>
      <c r="F27" s="41" t="s">
        <v>717</v>
      </c>
      <c r="H27" s="41" t="s">
        <v>677</v>
      </c>
    </row>
    <row r="28">
      <c r="A28" s="43">
        <v>46266.54022519676</v>
      </c>
      <c r="B28" s="41" t="s">
        <v>330</v>
      </c>
      <c r="C28" s="41" t="s">
        <v>714</v>
      </c>
      <c r="D28" s="41" t="s">
        <v>668</v>
      </c>
      <c r="E28" s="41" t="s">
        <v>694</v>
      </c>
      <c r="F28" s="41" t="s">
        <v>718</v>
      </c>
      <c r="H28" s="41" t="s">
        <v>677</v>
      </c>
      <c r="I28" s="41" t="s">
        <v>719</v>
      </c>
    </row>
    <row r="29">
      <c r="A29" s="43">
        <v>46266.54025204861</v>
      </c>
      <c r="B29" s="41" t="s">
        <v>330</v>
      </c>
      <c r="C29" s="41" t="s">
        <v>714</v>
      </c>
      <c r="D29" s="41" t="s">
        <v>668</v>
      </c>
      <c r="E29" s="41" t="s">
        <v>694</v>
      </c>
      <c r="F29" s="41" t="s">
        <v>720</v>
      </c>
      <c r="H29" s="41" t="s">
        <v>677</v>
      </c>
      <c r="I29" s="41" t="s">
        <v>719</v>
      </c>
    </row>
    <row r="30">
      <c r="A30" s="43">
        <v>46266.540242731484</v>
      </c>
      <c r="B30" s="41" t="s">
        <v>330</v>
      </c>
      <c r="C30" s="41" t="s">
        <v>714</v>
      </c>
      <c r="D30" s="41" t="s">
        <v>668</v>
      </c>
      <c r="E30" s="41" t="s">
        <v>694</v>
      </c>
      <c r="F30" s="41" t="s">
        <v>721</v>
      </c>
      <c r="H30" s="41" t="s">
        <v>677</v>
      </c>
      <c r="I30" s="41" t="s">
        <v>719</v>
      </c>
    </row>
    <row r="31">
      <c r="A31" s="43">
        <v>46266.54024849537</v>
      </c>
      <c r="B31" s="41" t="s">
        <v>330</v>
      </c>
      <c r="C31" s="41" t="s">
        <v>714</v>
      </c>
      <c r="D31" s="41" t="s">
        <v>668</v>
      </c>
      <c r="E31" s="41" t="s">
        <v>694</v>
      </c>
      <c r="F31" s="41" t="s">
        <v>720</v>
      </c>
      <c r="H31" s="41" t="s">
        <v>677</v>
      </c>
      <c r="I31" s="41" t="s">
        <v>719</v>
      </c>
    </row>
    <row r="32">
      <c r="A32" s="43">
        <v>46266.54025790509</v>
      </c>
      <c r="B32" s="41" t="s">
        <v>330</v>
      </c>
      <c r="C32" s="41" t="s">
        <v>714</v>
      </c>
      <c r="D32" s="41" t="s">
        <v>668</v>
      </c>
      <c r="E32" s="41" t="s">
        <v>694</v>
      </c>
      <c r="F32" s="41" t="s">
        <v>722</v>
      </c>
      <c r="H32" s="41" t="s">
        <v>677</v>
      </c>
      <c r="I32" s="41" t="s">
        <v>719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272</v>
      </c>
      <c r="B1" s="1" t="s">
        <v>723</v>
      </c>
      <c r="C1" s="1" t="s">
        <v>724</v>
      </c>
      <c r="D1" s="1" t="s">
        <v>725</v>
      </c>
      <c r="E1" s="1" t="s">
        <v>274</v>
      </c>
      <c r="F1" s="1" t="s">
        <v>303</v>
      </c>
      <c r="G1" s="1" t="s">
        <v>10</v>
      </c>
      <c r="H1" s="1" t="s">
        <v>215</v>
      </c>
      <c r="I1" s="1" t="s">
        <v>11</v>
      </c>
      <c r="J1" s="1" t="s">
        <v>726</v>
      </c>
      <c r="K1" s="1" t="s">
        <v>442</v>
      </c>
      <c r="L1" s="1" t="s">
        <v>642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727</v>
      </c>
      <c r="B1" s="1" t="s">
        <v>728</v>
      </c>
      <c r="C1" s="1" t="s">
        <v>388</v>
      </c>
      <c r="D1" s="1" t="s">
        <v>12</v>
      </c>
      <c r="E1" s="1" t="s">
        <v>279</v>
      </c>
      <c r="F1" s="1" t="s">
        <v>729</v>
      </c>
      <c r="G1" s="1" t="s">
        <v>10</v>
      </c>
      <c r="H1" s="1" t="s">
        <v>215</v>
      </c>
      <c r="I1" s="1" t="s">
        <v>208</v>
      </c>
      <c r="J1" s="1" t="s">
        <v>35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283</v>
      </c>
      <c r="B1" s="1" t="s">
        <v>730</v>
      </c>
      <c r="C1" s="1" t="s">
        <v>12</v>
      </c>
      <c r="D1" s="1" t="s">
        <v>731</v>
      </c>
      <c r="E1" s="1" t="s">
        <v>10</v>
      </c>
      <c r="F1" s="1" t="s">
        <v>732</v>
      </c>
      <c r="G1" s="1" t="s">
        <v>95</v>
      </c>
      <c r="H1" s="1" t="s">
        <v>733</v>
      </c>
    </row>
    <row r="2">
      <c r="A2" s="30" t="s">
        <v>734</v>
      </c>
      <c r="B2" s="30" t="s">
        <v>735</v>
      </c>
      <c r="C2" s="30" t="s">
        <v>736</v>
      </c>
      <c r="D2" s="30" t="s">
        <v>737</v>
      </c>
      <c r="E2" s="30" t="s">
        <v>738</v>
      </c>
      <c r="F2" s="34" t="s">
        <v>102</v>
      </c>
      <c r="G2" s="35" t="s">
        <v>106</v>
      </c>
      <c r="H2" s="30" t="s">
        <v>739</v>
      </c>
    </row>
    <row r="3">
      <c r="A3" s="30" t="s">
        <v>740</v>
      </c>
      <c r="B3" s="30" t="s">
        <v>741</v>
      </c>
      <c r="C3" s="30" t="s">
        <v>742</v>
      </c>
      <c r="D3" s="30" t="s">
        <v>743</v>
      </c>
      <c r="E3" s="30" t="s">
        <v>744</v>
      </c>
      <c r="F3" s="30" t="s">
        <v>745</v>
      </c>
      <c r="G3" s="35" t="s">
        <v>106</v>
      </c>
      <c r="H3" s="30" t="s">
        <v>746</v>
      </c>
    </row>
    <row r="4">
      <c r="A4" s="30" t="s">
        <v>747</v>
      </c>
      <c r="B4" s="30" t="s">
        <v>748</v>
      </c>
      <c r="C4" s="30" t="s">
        <v>749</v>
      </c>
      <c r="D4" s="30" t="s">
        <v>750</v>
      </c>
      <c r="E4" s="30" t="s">
        <v>751</v>
      </c>
      <c r="F4" s="30" t="s">
        <v>752</v>
      </c>
      <c r="G4" s="35" t="s">
        <v>106</v>
      </c>
      <c r="H4" s="30" t="s">
        <v>753</v>
      </c>
    </row>
    <row r="5">
      <c r="A5" s="30" t="s">
        <v>107</v>
      </c>
      <c r="B5" s="30" t="s">
        <v>110</v>
      </c>
      <c r="C5" s="30" t="s">
        <v>754</v>
      </c>
      <c r="D5" s="30" t="s">
        <v>755</v>
      </c>
      <c r="E5" s="30" t="s">
        <v>756</v>
      </c>
      <c r="F5" s="34" t="s">
        <v>112</v>
      </c>
      <c r="G5" s="35" t="s">
        <v>106</v>
      </c>
      <c r="H5" s="30" t="s">
        <v>757</v>
      </c>
    </row>
    <row r="6">
      <c r="A6" s="30" t="s">
        <v>123</v>
      </c>
      <c r="B6" s="30" t="s">
        <v>126</v>
      </c>
      <c r="C6" s="30" t="s">
        <v>758</v>
      </c>
      <c r="D6" s="30" t="s">
        <v>759</v>
      </c>
      <c r="E6" s="30" t="s">
        <v>125</v>
      </c>
      <c r="F6" s="34" t="s">
        <v>128</v>
      </c>
      <c r="G6" s="35" t="s">
        <v>106</v>
      </c>
      <c r="H6" s="30" t="s">
        <v>760</v>
      </c>
    </row>
    <row r="7">
      <c r="A7" s="30" t="s">
        <v>761</v>
      </c>
      <c r="B7" s="30" t="s">
        <v>762</v>
      </c>
      <c r="C7" s="30" t="s">
        <v>763</v>
      </c>
      <c r="D7" s="30" t="s">
        <v>764</v>
      </c>
      <c r="E7" s="30" t="s">
        <v>155</v>
      </c>
      <c r="F7" s="30" t="s">
        <v>765</v>
      </c>
      <c r="G7" s="35" t="s">
        <v>106</v>
      </c>
      <c r="H7" s="30" t="s">
        <v>766</v>
      </c>
    </row>
    <row r="8">
      <c r="A8" s="30" t="s">
        <v>767</v>
      </c>
      <c r="B8" s="30" t="s">
        <v>768</v>
      </c>
      <c r="C8" s="30" t="s">
        <v>769</v>
      </c>
      <c r="D8" s="30" t="s">
        <v>770</v>
      </c>
      <c r="E8" s="30" t="s">
        <v>140</v>
      </c>
      <c r="F8" s="30" t="s">
        <v>765</v>
      </c>
      <c r="G8" s="35" t="s">
        <v>106</v>
      </c>
      <c r="H8" s="30" t="s">
        <v>771</v>
      </c>
    </row>
    <row r="9">
      <c r="A9" s="30" t="s">
        <v>168</v>
      </c>
      <c r="B9" s="30" t="s">
        <v>772</v>
      </c>
      <c r="C9" s="30" t="s">
        <v>773</v>
      </c>
      <c r="D9" s="30" t="s">
        <v>774</v>
      </c>
      <c r="E9" s="30" t="s">
        <v>170</v>
      </c>
      <c r="F9" s="30" t="s">
        <v>775</v>
      </c>
      <c r="G9" s="35" t="s">
        <v>106</v>
      </c>
      <c r="H9" s="30" t="s">
        <v>776</v>
      </c>
    </row>
    <row r="10">
      <c r="A10" s="30" t="s">
        <v>777</v>
      </c>
      <c r="B10" s="30" t="s">
        <v>778</v>
      </c>
      <c r="C10" s="30" t="s">
        <v>779</v>
      </c>
      <c r="D10" s="30" t="s">
        <v>780</v>
      </c>
      <c r="E10" s="30" t="s">
        <v>781</v>
      </c>
      <c r="F10" s="30" t="s">
        <v>782</v>
      </c>
      <c r="G10" s="35" t="s">
        <v>106</v>
      </c>
      <c r="H10" s="30" t="s">
        <v>783</v>
      </c>
    </row>
    <row r="11">
      <c r="A11" s="30" t="s">
        <v>784</v>
      </c>
      <c r="B11" s="30" t="s">
        <v>785</v>
      </c>
      <c r="C11" s="30" t="s">
        <v>786</v>
      </c>
      <c r="D11" s="30" t="s">
        <v>743</v>
      </c>
      <c r="E11" s="30" t="s">
        <v>787</v>
      </c>
      <c r="F11" s="30" t="s">
        <v>788</v>
      </c>
      <c r="G11" s="35" t="s">
        <v>106</v>
      </c>
      <c r="H11" s="30" t="s">
        <v>789</v>
      </c>
    </row>
    <row r="12">
      <c r="A12" s="30" t="s">
        <v>790</v>
      </c>
      <c r="B12" s="30" t="s">
        <v>791</v>
      </c>
      <c r="C12" s="30" t="s">
        <v>792</v>
      </c>
      <c r="D12" s="30" t="s">
        <v>743</v>
      </c>
      <c r="E12" s="30" t="s">
        <v>793</v>
      </c>
      <c r="F12" s="30" t="s">
        <v>794</v>
      </c>
      <c r="G12" s="35" t="s">
        <v>106</v>
      </c>
      <c r="H12" s="30" t="s">
        <v>795</v>
      </c>
    </row>
    <row r="13">
      <c r="A13" s="30" t="s">
        <v>796</v>
      </c>
      <c r="B13" s="30" t="s">
        <v>797</v>
      </c>
      <c r="C13" s="30" t="s">
        <v>798</v>
      </c>
      <c r="D13" s="30" t="s">
        <v>799</v>
      </c>
      <c r="E13" s="30" t="s">
        <v>800</v>
      </c>
      <c r="F13" s="30" t="s">
        <v>801</v>
      </c>
      <c r="G13" s="35" t="s">
        <v>106</v>
      </c>
      <c r="H13" s="30" t="s">
        <v>802</v>
      </c>
    </row>
    <row r="14">
      <c r="A14" s="30" t="s">
        <v>803</v>
      </c>
      <c r="B14" s="30" t="s">
        <v>804</v>
      </c>
      <c r="C14" s="30" t="s">
        <v>805</v>
      </c>
      <c r="D14" s="30" t="s">
        <v>806</v>
      </c>
      <c r="E14" s="30" t="s">
        <v>781</v>
      </c>
      <c r="F14" s="30" t="s">
        <v>807</v>
      </c>
      <c r="G14" s="35" t="s">
        <v>106</v>
      </c>
      <c r="H14" s="30" t="s">
        <v>808</v>
      </c>
    </row>
    <row r="15">
      <c r="A15" s="30" t="s">
        <v>809</v>
      </c>
      <c r="B15" s="30" t="s">
        <v>810</v>
      </c>
      <c r="C15" s="30" t="s">
        <v>811</v>
      </c>
      <c r="D15" s="30" t="s">
        <v>743</v>
      </c>
      <c r="E15" s="30" t="s">
        <v>812</v>
      </c>
      <c r="F15" s="30" t="s">
        <v>813</v>
      </c>
      <c r="G15" s="35" t="s">
        <v>162</v>
      </c>
      <c r="H15" s="30" t="s">
        <v>814</v>
      </c>
    </row>
    <row r="16">
      <c r="A16" s="30" t="s">
        <v>815</v>
      </c>
      <c r="B16" s="30" t="s">
        <v>816</v>
      </c>
      <c r="C16" s="30" t="s">
        <v>817</v>
      </c>
      <c r="D16" s="30" t="s">
        <v>818</v>
      </c>
      <c r="E16" s="30" t="s">
        <v>819</v>
      </c>
      <c r="F16" s="30" t="s">
        <v>820</v>
      </c>
      <c r="G16" s="35" t="s">
        <v>162</v>
      </c>
      <c r="H16" s="30" t="s">
        <v>821</v>
      </c>
    </row>
    <row r="17">
      <c r="A17" s="30" t="s">
        <v>822</v>
      </c>
      <c r="B17" s="30" t="s">
        <v>823</v>
      </c>
      <c r="C17" s="30" t="s">
        <v>824</v>
      </c>
      <c r="D17" s="30" t="s">
        <v>825</v>
      </c>
      <c r="E17" s="30" t="s">
        <v>826</v>
      </c>
      <c r="F17" s="30" t="s">
        <v>827</v>
      </c>
      <c r="G17" s="35" t="s">
        <v>162</v>
      </c>
      <c r="H17" s="30" t="s">
        <v>828</v>
      </c>
    </row>
    <row r="18">
      <c r="A18" s="30" t="s">
        <v>829</v>
      </c>
      <c r="B18" s="30" t="s">
        <v>830</v>
      </c>
      <c r="C18" s="30" t="s">
        <v>831</v>
      </c>
      <c r="D18" s="30" t="s">
        <v>832</v>
      </c>
      <c r="E18" s="30" t="s">
        <v>833</v>
      </c>
      <c r="F18" s="30" t="s">
        <v>834</v>
      </c>
      <c r="G18" s="35" t="s">
        <v>162</v>
      </c>
      <c r="H18" s="30" t="s">
        <v>835</v>
      </c>
    </row>
    <row r="19">
      <c r="A19" s="30" t="s">
        <v>836</v>
      </c>
      <c r="B19" s="30" t="s">
        <v>837</v>
      </c>
      <c r="C19" s="30" t="s">
        <v>838</v>
      </c>
      <c r="D19" s="30" t="s">
        <v>839</v>
      </c>
      <c r="E19" s="30" t="s">
        <v>840</v>
      </c>
      <c r="F19" s="30" t="s">
        <v>841</v>
      </c>
      <c r="G19" s="35" t="s">
        <v>162</v>
      </c>
      <c r="H19" s="30" t="s">
        <v>842</v>
      </c>
    </row>
    <row r="20">
      <c r="A20" s="30" t="s">
        <v>843</v>
      </c>
      <c r="B20" s="30" t="s">
        <v>844</v>
      </c>
      <c r="C20" s="30" t="s">
        <v>845</v>
      </c>
      <c r="D20" s="30" t="s">
        <v>846</v>
      </c>
      <c r="E20" s="30" t="s">
        <v>847</v>
      </c>
      <c r="F20" s="30" t="s">
        <v>848</v>
      </c>
      <c r="G20" s="35" t="s">
        <v>162</v>
      </c>
      <c r="H20" s="30" t="s">
        <v>849</v>
      </c>
    </row>
  </sheetData>
  <hyperlinks>
    <hyperlink r:id="rId1" ref="F2"/>
    <hyperlink r:id="rId2" ref="F5"/>
    <hyperlink r:id="rId3" ref="F6"/>
  </hyperlinks>
  <drawing r:id="rId4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3</v>
      </c>
      <c r="B1" s="1" t="s">
        <v>2</v>
      </c>
      <c r="C1" s="1" t="s">
        <v>323</v>
      </c>
      <c r="D1" s="1" t="s">
        <v>321</v>
      </c>
      <c r="E1" s="1" t="s">
        <v>480</v>
      </c>
      <c r="F1" s="1" t="s">
        <v>850</v>
      </c>
      <c r="G1" s="1" t="s">
        <v>851</v>
      </c>
      <c r="H1" s="1" t="s">
        <v>12</v>
      </c>
      <c r="I1" s="1" t="s">
        <v>434</v>
      </c>
      <c r="J1" s="1" t="s">
        <v>852</v>
      </c>
      <c r="K1" s="1" t="s">
        <v>853</v>
      </c>
      <c r="L1" s="1" t="s">
        <v>854</v>
      </c>
      <c r="M1" s="1" t="s">
        <v>855</v>
      </c>
      <c r="N1" s="1" t="s">
        <v>856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5.14"/>
    <col customWidth="1" min="3" max="4" width="26.57"/>
    <col customWidth="1" min="5" max="5" width="15.14"/>
    <col customWidth="1" min="6" max="10" width="18.71"/>
    <col customWidth="1" min="11" max="14" width="15.14"/>
  </cols>
  <sheetData>
    <row r="1">
      <c r="A1" s="44" t="s">
        <v>857</v>
      </c>
    </row>
    <row r="3">
      <c r="A3" s="45"/>
    </row>
    <row r="5">
      <c r="A5" s="27" t="s">
        <v>858</v>
      </c>
      <c r="H5" s="27"/>
    </row>
    <row r="6">
      <c r="A6" s="46" t="s">
        <v>859</v>
      </c>
      <c r="B6" s="47"/>
      <c r="C6" s="47"/>
      <c r="D6" s="47"/>
      <c r="E6" s="47"/>
      <c r="F6" s="47"/>
      <c r="G6" s="12"/>
      <c r="H6" s="48" t="s">
        <v>16</v>
      </c>
      <c r="I6" s="48" t="s">
        <v>17</v>
      </c>
      <c r="J6" s="48" t="s">
        <v>18</v>
      </c>
      <c r="K6" s="48" t="s">
        <v>19</v>
      </c>
      <c r="L6" s="48" t="s">
        <v>20</v>
      </c>
      <c r="M6" s="48" t="s">
        <v>21</v>
      </c>
      <c r="N6" s="48" t="s">
        <v>22</v>
      </c>
    </row>
    <row r="7">
      <c r="A7" s="16"/>
      <c r="G7" s="17"/>
      <c r="H7" s="51" t="s">
        <v>31</v>
      </c>
      <c r="I7" s="52" t="s">
        <v>36</v>
      </c>
      <c r="J7" s="52" t="s">
        <v>37</v>
      </c>
      <c r="K7" s="52" t="s">
        <v>38</v>
      </c>
      <c r="L7" s="52" t="s">
        <v>39</v>
      </c>
      <c r="M7" s="52" t="s">
        <v>40</v>
      </c>
      <c r="N7" s="51" t="s">
        <v>41</v>
      </c>
    </row>
    <row r="8">
      <c r="A8" s="19"/>
      <c r="B8" s="53"/>
      <c r="C8" s="53"/>
      <c r="D8" s="53"/>
      <c r="E8" s="53"/>
      <c r="F8" s="53"/>
      <c r="G8" s="20"/>
      <c r="H8" s="51" t="s">
        <v>42</v>
      </c>
      <c r="I8" s="51" t="s">
        <v>43</v>
      </c>
      <c r="J8" s="51" t="s">
        <v>44</v>
      </c>
      <c r="K8" s="51" t="s">
        <v>45</v>
      </c>
      <c r="L8" s="51" t="s">
        <v>46</v>
      </c>
      <c r="M8" s="51" t="s">
        <v>47</v>
      </c>
      <c r="N8" s="51" t="s">
        <v>48</v>
      </c>
    </row>
    <row r="9">
      <c r="H9" s="51" t="s">
        <v>49</v>
      </c>
      <c r="I9" s="51" t="s">
        <v>50</v>
      </c>
      <c r="J9" s="51" t="s">
        <v>51</v>
      </c>
      <c r="K9" s="51" t="s">
        <v>52</v>
      </c>
      <c r="L9" s="51" t="s">
        <v>53</v>
      </c>
      <c r="M9" s="51" t="s">
        <v>54</v>
      </c>
      <c r="N9" s="51" t="s">
        <v>55</v>
      </c>
    </row>
    <row r="10">
      <c r="H10" s="51" t="s">
        <v>56</v>
      </c>
      <c r="I10" s="51" t="s">
        <v>57</v>
      </c>
      <c r="J10" s="51" t="s">
        <v>58</v>
      </c>
      <c r="K10" s="51" t="s">
        <v>59</v>
      </c>
      <c r="L10" s="51" t="s">
        <v>60</v>
      </c>
      <c r="M10" s="51" t="s">
        <v>61</v>
      </c>
      <c r="N10" s="51" t="s">
        <v>62</v>
      </c>
    </row>
    <row r="11">
      <c r="H11" s="51" t="s">
        <v>63</v>
      </c>
      <c r="I11" s="51" t="s">
        <v>64</v>
      </c>
      <c r="J11" s="51" t="s">
        <v>65</v>
      </c>
      <c r="K11" s="51" t="s">
        <v>31</v>
      </c>
      <c r="L11" s="51" t="s">
        <v>37</v>
      </c>
      <c r="M11" s="51" t="s">
        <v>38</v>
      </c>
      <c r="N11" s="51" t="s">
        <v>39</v>
      </c>
    </row>
    <row r="14">
      <c r="A14" s="58" t="s">
        <v>863</v>
      </c>
    </row>
    <row r="15" ht="40.5" customHeight="1">
      <c r="A15" s="23" t="s">
        <v>67</v>
      </c>
      <c r="B15" s="23" t="s">
        <v>84</v>
      </c>
      <c r="C15" s="23" t="s">
        <v>864</v>
      </c>
      <c r="D15" s="23" t="s">
        <v>865</v>
      </c>
      <c r="E15" s="23" t="s">
        <v>69</v>
      </c>
      <c r="F15" s="23" t="s">
        <v>866</v>
      </c>
      <c r="G15" s="23" t="s">
        <v>867</v>
      </c>
      <c r="H15" s="23" t="s">
        <v>868</v>
      </c>
      <c r="I15" s="23" t="s">
        <v>869</v>
      </c>
      <c r="J15" s="23" t="s">
        <v>870</v>
      </c>
    </row>
    <row r="16" ht="40.5" customHeight="1">
      <c r="A16" s="59" t="s">
        <v>690</v>
      </c>
      <c r="B16" s="60" t="s">
        <v>871</v>
      </c>
      <c r="C16" s="59" t="s">
        <v>872</v>
      </c>
      <c r="D16" s="59" t="s">
        <v>873</v>
      </c>
      <c r="E16" s="59" t="s">
        <v>133</v>
      </c>
      <c r="F16" s="59" t="s">
        <v>874</v>
      </c>
      <c r="G16" s="59"/>
      <c r="H16" s="59"/>
      <c r="I16" s="59"/>
      <c r="J16" s="59"/>
    </row>
    <row r="17" ht="40.5" customHeight="1">
      <c r="A17" s="59" t="s">
        <v>146</v>
      </c>
      <c r="B17" s="60" t="s">
        <v>875</v>
      </c>
      <c r="C17" s="59" t="s">
        <v>876</v>
      </c>
      <c r="D17" s="59" t="s">
        <v>877</v>
      </c>
      <c r="E17" s="59" t="s">
        <v>99</v>
      </c>
      <c r="F17" s="59" t="s">
        <v>878</v>
      </c>
      <c r="G17" s="59"/>
      <c r="H17" s="59"/>
      <c r="I17" s="59"/>
      <c r="J17" s="59"/>
    </row>
    <row r="18" ht="40.5" customHeight="1">
      <c r="A18" s="59" t="s">
        <v>107</v>
      </c>
      <c r="B18" s="60" t="s">
        <v>875</v>
      </c>
      <c r="C18" s="59" t="s">
        <v>879</v>
      </c>
      <c r="D18" s="59" t="s">
        <v>880</v>
      </c>
      <c r="E18" s="59" t="s">
        <v>756</v>
      </c>
      <c r="F18" s="59" t="s">
        <v>881</v>
      </c>
      <c r="G18" s="59"/>
      <c r="H18" s="59"/>
      <c r="I18" s="59"/>
      <c r="J18" s="59"/>
    </row>
    <row r="19" ht="40.5" customHeight="1">
      <c r="A19" s="59" t="s">
        <v>183</v>
      </c>
      <c r="B19" s="60" t="s">
        <v>875</v>
      </c>
      <c r="C19" s="59" t="s">
        <v>882</v>
      </c>
      <c r="D19" s="59" t="s">
        <v>883</v>
      </c>
      <c r="E19" s="59" t="s">
        <v>185</v>
      </c>
      <c r="F19" s="59" t="s">
        <v>884</v>
      </c>
      <c r="G19" s="59"/>
      <c r="H19" s="59"/>
      <c r="I19" s="59"/>
      <c r="J19" s="59"/>
    </row>
    <row r="20" ht="40.5" customHeight="1">
      <c r="A20" s="59" t="s">
        <v>886</v>
      </c>
      <c r="B20" s="60" t="s">
        <v>871</v>
      </c>
      <c r="C20" s="59" t="s">
        <v>887</v>
      </c>
      <c r="D20" s="59" t="s">
        <v>888</v>
      </c>
      <c r="E20" s="59" t="s">
        <v>99</v>
      </c>
      <c r="F20" s="59" t="s">
        <v>889</v>
      </c>
      <c r="G20" s="59"/>
      <c r="H20" s="59"/>
      <c r="I20" s="59"/>
      <c r="J20" s="59"/>
    </row>
    <row r="21" ht="40.5" customHeight="1">
      <c r="A21" s="59" t="s">
        <v>703</v>
      </c>
      <c r="B21" s="60" t="s">
        <v>875</v>
      </c>
      <c r="C21" s="59" t="s">
        <v>893</v>
      </c>
      <c r="D21" s="59" t="s">
        <v>894</v>
      </c>
      <c r="E21" s="59" t="s">
        <v>895</v>
      </c>
      <c r="F21" s="59" t="s">
        <v>896</v>
      </c>
      <c r="G21" s="59"/>
      <c r="H21" s="59"/>
      <c r="I21" s="59"/>
      <c r="J21" s="59"/>
    </row>
    <row r="24">
      <c r="A24" s="58" t="s">
        <v>899</v>
      </c>
    </row>
    <row r="25">
      <c r="A25" s="92" t="s">
        <v>900</v>
      </c>
      <c r="B25" s="92" t="s">
        <v>948</v>
      </c>
      <c r="C25" s="92" t="s">
        <v>69</v>
      </c>
      <c r="D25" s="92" t="s">
        <v>949</v>
      </c>
      <c r="E25" s="92"/>
      <c r="F25" s="92"/>
      <c r="G25" s="92"/>
      <c r="H25" s="92"/>
    </row>
    <row r="26">
      <c r="A26" s="93" t="b">
        <v>0</v>
      </c>
      <c r="B26" s="93" t="s">
        <v>950</v>
      </c>
      <c r="C26" s="93" t="s">
        <v>738</v>
      </c>
      <c r="D26" s="93"/>
      <c r="E26" s="93"/>
      <c r="F26" s="93"/>
      <c r="G26" s="93"/>
      <c r="H26" s="93"/>
    </row>
    <row r="27">
      <c r="A27" s="93" t="b">
        <v>0</v>
      </c>
      <c r="B27" s="93" t="s">
        <v>951</v>
      </c>
      <c r="C27" s="93" t="s">
        <v>99</v>
      </c>
      <c r="D27" s="93"/>
      <c r="E27" s="93"/>
      <c r="F27" s="93"/>
      <c r="G27" s="93"/>
      <c r="H27" s="93"/>
    </row>
    <row r="28">
      <c r="A28" s="93" t="b">
        <v>0</v>
      </c>
      <c r="B28" s="93" t="s">
        <v>953</v>
      </c>
      <c r="C28" s="93" t="s">
        <v>99</v>
      </c>
      <c r="D28" s="93"/>
      <c r="E28" s="93"/>
      <c r="F28" s="93"/>
      <c r="G28" s="93"/>
      <c r="H28" s="93"/>
    </row>
    <row r="29">
      <c r="A29" s="93" t="b">
        <v>0</v>
      </c>
      <c r="B29" s="93" t="s">
        <v>954</v>
      </c>
      <c r="C29" s="93" t="s">
        <v>955</v>
      </c>
      <c r="D29" s="93"/>
      <c r="E29" s="93"/>
      <c r="F29" s="93"/>
      <c r="G29" s="93"/>
      <c r="H29" s="93"/>
    </row>
    <row r="30">
      <c r="A30" s="93" t="b">
        <v>0</v>
      </c>
      <c r="B30" s="93" t="s">
        <v>956</v>
      </c>
      <c r="C30" s="93" t="s">
        <v>738</v>
      </c>
      <c r="D30" s="93"/>
      <c r="E30" s="93"/>
      <c r="F30" s="93"/>
      <c r="G30" s="93"/>
      <c r="H30" s="93"/>
    </row>
    <row r="31">
      <c r="A31" s="93" t="b">
        <v>0</v>
      </c>
      <c r="B31" s="93" t="s">
        <v>957</v>
      </c>
      <c r="C31" s="93" t="s">
        <v>331</v>
      </c>
      <c r="D31" s="93"/>
      <c r="E31" s="93"/>
      <c r="F31" s="93"/>
      <c r="G31" s="93"/>
      <c r="H31" s="93"/>
    </row>
  </sheetData>
  <mergeCells count="7">
    <mergeCell ref="A1:N2"/>
    <mergeCell ref="A3:N3"/>
    <mergeCell ref="A5:G5"/>
    <mergeCell ref="H5:N5"/>
    <mergeCell ref="A6:G8"/>
    <mergeCell ref="A14:N14"/>
    <mergeCell ref="A24:N24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1.57"/>
    <col customWidth="1" min="2" max="2" width="48.71"/>
    <col customWidth="1" min="3" max="8" width="15.86"/>
    <col customWidth="1" min="9" max="12" width="13.0"/>
  </cols>
  <sheetData>
    <row r="1">
      <c r="A1" s="49" t="s">
        <v>860</v>
      </c>
    </row>
    <row r="3">
      <c r="A3" s="50" t="s">
        <v>861</v>
      </c>
    </row>
    <row r="5">
      <c r="A5" s="54" t="str">
        <f>"OPEN CRITICAL MOVES"&amp;CHAR(10)&amp;COUNTIFS('WORK DESK — UPDATE'!G:G,"Yes",'WORK DESK — UPDATE'!J:J,"&lt;&gt;Done",'WORK DESK — UPDATE'!J:J,"&lt;&gt;Dropped")</f>
        <v>OPEN CRITICAL MOVES
6</v>
      </c>
      <c r="B5" s="55"/>
      <c r="C5" s="57"/>
      <c r="D5" s="54" t="str">
        <f>"RESULT-PRODUCING"&amp;CHAR(10)&amp;COUNTIFS('WORK DESK — UPDATE'!H:H,"Yes",'WORK DESK — UPDATE'!J:J,"&lt;&gt;Done",'WORK DESK — UPDATE'!J:J,"&lt;&gt;Dropped")</f>
        <v>RESULT-PRODUCING
10</v>
      </c>
      <c r="E5" s="55"/>
      <c r="F5" s="57"/>
      <c r="G5" s="54" t="str">
        <f>"WAITING / BLOCKED"&amp;CHAR(10)&amp;(COUNTIF('WORK DESK — UPDATE'!J:J,"Waiting")+COUNTIF('WORK DESK — UPDATE'!J:J,"Blocked")+COUNTIF('WORK DESK — UPDATE'!L:L,"Yes"))</f>
        <v>WAITING / BLOCKED
0</v>
      </c>
      <c r="H5" s="55"/>
      <c r="I5" s="57"/>
      <c r="J5" s="54" t="str">
        <f>"AHMAD DECISIONS"&amp;CHAR(10)&amp;COUNTIF('06_DECISIONS'!G:G,"Open")</f>
        <v>AHMAD DECISIONS
1</v>
      </c>
      <c r="K5" s="55"/>
      <c r="L5" s="57"/>
    </row>
    <row r="6">
      <c r="A6" s="61"/>
      <c r="C6" s="62"/>
      <c r="D6" s="61"/>
      <c r="F6" s="62"/>
      <c r="G6" s="61"/>
      <c r="I6" s="62"/>
      <c r="J6" s="61"/>
      <c r="L6" s="62"/>
    </row>
    <row r="7">
      <c r="A7" s="63"/>
      <c r="B7" s="64"/>
      <c r="C7" s="65"/>
      <c r="D7" s="63"/>
      <c r="E7" s="64"/>
      <c r="F7" s="65"/>
      <c r="G7" s="63"/>
      <c r="H7" s="64"/>
      <c r="I7" s="65"/>
      <c r="J7" s="63"/>
      <c r="K7" s="64"/>
      <c r="L7" s="65"/>
    </row>
    <row r="9">
      <c r="A9" s="66" t="s">
        <v>885</v>
      </c>
    </row>
    <row r="10">
      <c r="A10" s="67" t="s">
        <v>891</v>
      </c>
      <c r="B10" s="67" t="s">
        <v>892</v>
      </c>
      <c r="C10" s="67" t="s">
        <v>69</v>
      </c>
      <c r="D10" s="67" t="s">
        <v>84</v>
      </c>
      <c r="E10" s="67" t="s">
        <v>70</v>
      </c>
      <c r="F10" s="67" t="s">
        <v>71</v>
      </c>
      <c r="G10" s="67" t="s">
        <v>897</v>
      </c>
      <c r="H10" s="67" t="s">
        <v>898</v>
      </c>
    </row>
    <row r="11">
      <c r="A11" s="69" t="str">
        <f>IFERROR(__xludf.DUMMYFUNCTION("IFERROR(FILTER(HSTACK('WORK DESK — UPDATE'!B6:B120,'WORK DESK — UPDATE'!C6:C120,'WORK DESK — UPDATE'!D6:D120,'WORK DESK — UPDATE'!F6:F120,'WORK DESK — UPDATE'!I6:I120,'WORK DESK — UPDATE'!J6:J120,'WORK DESK — UPDATE'!K6:K120,'WORK DESK — UPDATE'!Q6:Q120),"&amp;"'WORK DESK — UPDATE'!G6:G120=""Yes"",'WORK DESK — UPDATE'!J6:J120&lt;&gt;""Done"",'WORK DESK — UPDATE'!J6:J120&lt;&gt;""Dropped""),""No open critical moves"")"),"Gardenia's Fire")</f>
        <v>Gardenia's Fire</v>
      </c>
      <c r="B11" s="69" t="str">
        <f>IFERROR(__xludf.DUMMYFUNCTION("""COMPUTED_VALUE"""),"Confirm sellable offer is ready from Emmanuel's real-life process; capture only price/cost/margin or constraints needed for selling/management")</f>
        <v>Confirm sellable offer is ready from Emmanuel's real-life process; capture only price/cost/margin or constraints needed for selling/management</v>
      </c>
      <c r="C11" s="69" t="str">
        <f>IFERROR(__xludf.DUMMYFUNCTION("""COMPUTED_VALUE"""),"Emmanuel")</f>
        <v>Emmanuel</v>
      </c>
      <c r="D11" s="69" t="str">
        <f>IFERROR(__xludf.DUMMYFUNCTION("""COMPUTED_VALUE"""),"PUSH")</f>
        <v>PUSH</v>
      </c>
      <c r="E11" s="70">
        <f>IFERROR(__xludf.DUMMYFUNCTION("""COMPUTED_VALUE"""),46265.0)</f>
        <v>46265</v>
      </c>
      <c r="F11" s="69" t="str">
        <f>IFERROR(__xludf.DUMMYFUNCTION("""COMPUTED_VALUE"""),"In Progress")</f>
        <v>In Progress</v>
      </c>
      <c r="G11" s="69"/>
      <c r="H11" s="69" t="str">
        <f>IFERROR(__xludf.DUMMYFUNCTION("""COMPUTED_VALUE"""),"No")</f>
        <v>No</v>
      </c>
    </row>
    <row r="12">
      <c r="A12" s="69" t="str">
        <f>IFERROR(__xludf.DUMMYFUNCTION("""COMPUTED_VALUE"""),"Gardenia's Fire")</f>
        <v>Gardenia's Fire</v>
      </c>
      <c r="B12" s="69" t="str">
        <f>IFERROR(__xludf.DUMMYFUNCTION("""COMPUTED_VALUE"""),"Build/confirm target account list")</f>
        <v>Build/confirm target account list</v>
      </c>
      <c r="C12" s="69" t="str">
        <f>IFERROR(__xludf.DUMMYFUNCTION("""COMPUTED_VALUE"""),"Emmanuel")</f>
        <v>Emmanuel</v>
      </c>
      <c r="D12" s="69" t="str">
        <f>IFERROR(__xludf.DUMMYFUNCTION("""COMPUTED_VALUE"""),"PUSH")</f>
        <v>PUSH</v>
      </c>
      <c r="E12" s="70">
        <f>IFERROR(__xludf.DUMMYFUNCTION("""COMPUTED_VALUE"""),46266.0)</f>
        <v>46266</v>
      </c>
      <c r="F12" s="69" t="str">
        <f>IFERROR(__xludf.DUMMYFUNCTION("""COMPUTED_VALUE"""),"Open")</f>
        <v>Open</v>
      </c>
      <c r="G12" s="69"/>
      <c r="H12" s="69" t="str">
        <f>IFERROR(__xludf.DUMMYFUNCTION("""COMPUTED_VALUE"""),"No")</f>
        <v>No</v>
      </c>
    </row>
    <row r="13">
      <c r="A13" s="69" t="str">
        <f>IFERROR(__xludf.DUMMYFUNCTION("""COMPUTED_VALUE"""),"Gardenia's Fire")</f>
        <v>Gardenia's Fire</v>
      </c>
      <c r="B13" s="69" t="str">
        <f>IFERROR(__xludf.DUMMYFUNCTION("""COMPUTED_VALUE"""),"Begin outreach and schedule tastings")</f>
        <v>Begin outreach and schedule tastings</v>
      </c>
      <c r="C13" s="69" t="str">
        <f>IFERROR(__xludf.DUMMYFUNCTION("""COMPUTED_VALUE"""),"Emmanuel")</f>
        <v>Emmanuel</v>
      </c>
      <c r="D13" s="69" t="str">
        <f>IFERROR(__xludf.DUMMYFUNCTION("""COMPUTED_VALUE"""),"PUSH")</f>
        <v>PUSH</v>
      </c>
      <c r="E13" s="70">
        <f>IFERROR(__xludf.DUMMYFUNCTION("""COMPUTED_VALUE"""),46269.0)</f>
        <v>46269</v>
      </c>
      <c r="F13" s="69" t="str">
        <f>IFERROR(__xludf.DUMMYFUNCTION("""COMPUTED_VALUE"""),"Open")</f>
        <v>Open</v>
      </c>
      <c r="G13" s="69"/>
      <c r="H13" s="69" t="str">
        <f>IFERROR(__xludf.DUMMYFUNCTION("""COMPUTED_VALUE"""),"No")</f>
        <v>No</v>
      </c>
    </row>
    <row r="14">
      <c r="A14" s="69" t="str">
        <f>IFERROR(__xludf.DUMMYFUNCTION("""COMPUTED_VALUE"""),"Edible Operations")</f>
        <v>Edible Operations</v>
      </c>
      <c r="B14" s="69" t="str">
        <f>IFERROR(__xludf.DUMMYFUNCTION("""COMPUTED_VALUE"""),"Execute labor schedule correction and verify effect")</f>
        <v>Execute labor schedule correction and verify effect</v>
      </c>
      <c r="C14" s="69" t="str">
        <f>IFERROR(__xludf.DUMMYFUNCTION("""COMPUTED_VALUE"""),"Emmanuel")</f>
        <v>Emmanuel</v>
      </c>
      <c r="D14" s="69" t="str">
        <f>IFERROR(__xludf.DUMMYFUNCTION("""COMPUTED_VALUE"""),"MAINTAIN")</f>
        <v>MAINTAIN</v>
      </c>
      <c r="E14" s="70">
        <f>IFERROR(__xludf.DUMMYFUNCTION("""COMPUTED_VALUE"""),46267.0)</f>
        <v>46267</v>
      </c>
      <c r="F14" s="69" t="str">
        <f>IFERROR(__xludf.DUMMYFUNCTION("""COMPUTED_VALUE"""),"In Progress")</f>
        <v>In Progress</v>
      </c>
      <c r="G14" s="69"/>
      <c r="H14" s="69" t="str">
        <f>IFERROR(__xludf.DUMMYFUNCTION("""COMPUTED_VALUE"""),"Yes")</f>
        <v>Yes</v>
      </c>
    </row>
    <row r="15">
      <c r="A15" s="69" t="str">
        <f>IFERROR(__xludf.DUMMYFUNCTION("""COMPUTED_VALUE"""),"Finance &amp; Office")</f>
        <v>Finance &amp; Office</v>
      </c>
      <c r="B15" s="69" t="str">
        <f>IFERROR(__xludf.DUMMYFUNCTION("""COMPUTED_VALUE"""),"Confirm books/reconciliations/evidence current for weekly close")</f>
        <v>Confirm books/reconciliations/evidence current for weekly close</v>
      </c>
      <c r="C15" s="69" t="str">
        <f>IFERROR(__xludf.DUMMYFUNCTION("""COMPUTED_VALUE"""),"Moises")</f>
        <v>Moises</v>
      </c>
      <c r="D15" s="69" t="str">
        <f>IFERROR(__xludf.DUMMYFUNCTION("""COMPUTED_VALUE"""),"PUSH")</f>
        <v>PUSH</v>
      </c>
      <c r="E15" s="70">
        <f>IFERROR(__xludf.DUMMYFUNCTION("""COMPUTED_VALUE"""),46269.0)</f>
        <v>46269</v>
      </c>
      <c r="F15" s="69" t="str">
        <f>IFERROR(__xludf.DUMMYFUNCTION("""COMPUTED_VALUE"""),"Open")</f>
        <v>Open</v>
      </c>
      <c r="G15" s="69"/>
      <c r="H15" s="69" t="str">
        <f>IFERROR(__xludf.DUMMYFUNCTION("""COMPUTED_VALUE"""),"Yes")</f>
        <v>Yes</v>
      </c>
    </row>
    <row r="16">
      <c r="A16" s="69" t="str">
        <f>IFERROR(__xludf.DUMMYFUNCTION("""COMPUTED_VALUE"""),"My Work")</f>
        <v>My Work</v>
      </c>
      <c r="B16" s="69" t="str">
        <f>IFERROR(__xludf.DUMMYFUNCTION("""COMPUTED_VALUE"""),"xfgnxfm")</f>
        <v>xfgnxfm</v>
      </c>
      <c r="C16" s="69" t="str">
        <f>IFERROR(__xludf.DUMMYFUNCTION("""COMPUTED_VALUE"""),"xfmfhm")</f>
        <v>xfmfhm</v>
      </c>
      <c r="D16" s="69" t="str">
        <f>IFERROR(__xludf.DUMMYFUNCTION("""COMPUTED_VALUE"""),"PUSH")</f>
        <v>PUSH</v>
      </c>
      <c r="E16" s="70" t="str">
        <f>IFERROR(__xludf.DUMMYFUNCTION("""COMPUTED_VALUE"""),"xmh")</f>
        <v>xmh</v>
      </c>
      <c r="F16" s="69" t="str">
        <f>IFERROR(__xludf.DUMMYFUNCTION("""COMPUTED_VALUE"""),"Open")</f>
        <v>Open</v>
      </c>
      <c r="G16" s="69"/>
      <c r="H16" s="69" t="str">
        <f>IFERROR(__xludf.DUMMYFUNCTION("""COMPUTED_VALUE"""),"No")</f>
        <v>No</v>
      </c>
    </row>
    <row r="17">
      <c r="A17" s="69"/>
      <c r="B17" s="69"/>
      <c r="C17" s="69"/>
      <c r="D17" s="69"/>
      <c r="E17" s="70"/>
      <c r="F17" s="69"/>
      <c r="G17" s="69"/>
      <c r="H17" s="69"/>
    </row>
    <row r="18">
      <c r="A18" s="69"/>
      <c r="B18" s="69"/>
      <c r="C18" s="69"/>
      <c r="D18" s="69"/>
      <c r="E18" s="70"/>
      <c r="F18" s="69"/>
      <c r="G18" s="69"/>
      <c r="H18" s="69"/>
    </row>
    <row r="19">
      <c r="A19" s="69"/>
      <c r="B19" s="69"/>
      <c r="C19" s="69"/>
      <c r="D19" s="69"/>
      <c r="E19" s="70"/>
      <c r="F19" s="69"/>
      <c r="G19" s="69"/>
      <c r="H19" s="69"/>
    </row>
    <row r="20">
      <c r="A20" s="69"/>
      <c r="B20" s="69"/>
      <c r="C20" s="69"/>
      <c r="D20" s="69"/>
      <c r="E20" s="70"/>
      <c r="F20" s="69"/>
      <c r="G20" s="69"/>
      <c r="H20" s="69"/>
    </row>
    <row r="21">
      <c r="A21" s="69"/>
      <c r="B21" s="69"/>
      <c r="C21" s="69"/>
      <c r="D21" s="69"/>
      <c r="E21" s="70"/>
      <c r="F21" s="69"/>
      <c r="G21" s="69"/>
      <c r="H21" s="69"/>
    </row>
    <row r="22">
      <c r="A22" s="69"/>
      <c r="B22" s="69"/>
      <c r="C22" s="69"/>
      <c r="D22" s="69"/>
      <c r="E22" s="70"/>
      <c r="F22" s="69"/>
      <c r="G22" s="69"/>
      <c r="H22" s="69"/>
    </row>
    <row r="23">
      <c r="A23" s="69"/>
      <c r="B23" s="69"/>
      <c r="C23" s="69"/>
      <c r="D23" s="69"/>
      <c r="E23" s="69"/>
      <c r="F23" s="69"/>
      <c r="G23" s="69"/>
      <c r="H23" s="69"/>
    </row>
    <row r="24">
      <c r="A24" s="30" t="s">
        <v>901</v>
      </c>
    </row>
    <row r="25">
      <c r="A25" s="71" t="s">
        <v>902</v>
      </c>
    </row>
    <row r="26">
      <c r="A26" s="72" t="s">
        <v>903</v>
      </c>
      <c r="B26" s="72" t="s">
        <v>904</v>
      </c>
      <c r="C26" s="72" t="s">
        <v>69</v>
      </c>
      <c r="D26" s="72" t="s">
        <v>70</v>
      </c>
      <c r="E26" s="72" t="s">
        <v>71</v>
      </c>
      <c r="F26" s="72" t="s">
        <v>905</v>
      </c>
    </row>
    <row r="27">
      <c r="A27" s="69" t="str">
        <f>IFERROR(__xludf.DUMMYFUNCTION("IFERROR(FILTER(HSTACK('WEEK CLOSE — UPDATE'!B2:B120,'WEEK CLOSE — UPDATE'!C2:C120,'WEEK CLOSE — UPDATE'!D2:D120,'WEEK CLOSE — UPDATE'!F2:F120,'WEEK CLOSE — UPDATE'!G2:G120,'WEEK CLOSE — UPDATE'!I2:I120),'WEEK CLOSE — UPDATE'!G2:G120&lt;&gt;""Done""),""No open r"&amp;"ecurring controls"")"),"#REF!")</f>
        <v>#REF!</v>
      </c>
      <c r="B27" s="69"/>
      <c r="C27" s="69"/>
      <c r="D27" s="70"/>
      <c r="E27" s="69"/>
      <c r="F27" s="69"/>
    </row>
    <row r="28">
      <c r="A28" s="69"/>
      <c r="B28" s="69"/>
      <c r="C28" s="69"/>
      <c r="D28" s="70"/>
      <c r="E28" s="69"/>
      <c r="F28" s="69"/>
    </row>
    <row r="29">
      <c r="A29" s="69"/>
      <c r="B29" s="69"/>
      <c r="C29" s="69"/>
      <c r="D29" s="70"/>
      <c r="E29" s="69"/>
      <c r="F29" s="69"/>
    </row>
    <row r="30">
      <c r="A30" s="69"/>
      <c r="B30" s="69"/>
      <c r="C30" s="69"/>
      <c r="D30" s="70"/>
      <c r="E30" s="69"/>
      <c r="F30" s="69"/>
    </row>
    <row r="31">
      <c r="A31" s="69"/>
      <c r="B31" s="69"/>
      <c r="C31" s="69"/>
      <c r="D31" s="70"/>
      <c r="E31" s="69"/>
      <c r="F31" s="69"/>
    </row>
    <row r="32">
      <c r="A32" s="69"/>
      <c r="B32" s="69"/>
      <c r="C32" s="69"/>
      <c r="D32" s="70"/>
      <c r="E32" s="69"/>
      <c r="F32" s="69"/>
    </row>
    <row r="33">
      <c r="A33" s="69"/>
      <c r="B33" s="69"/>
      <c r="C33" s="69"/>
      <c r="D33" s="70"/>
      <c r="E33" s="69"/>
      <c r="F33" s="69"/>
    </row>
    <row r="34">
      <c r="A34" s="69"/>
      <c r="B34" s="69"/>
      <c r="C34" s="69"/>
      <c r="D34" s="70"/>
      <c r="E34" s="69"/>
      <c r="F34" s="69"/>
    </row>
    <row r="35">
      <c r="A35" s="69"/>
      <c r="B35" s="69"/>
      <c r="C35" s="69"/>
      <c r="D35" s="70"/>
      <c r="E35" s="69"/>
      <c r="F35" s="69"/>
    </row>
    <row r="36">
      <c r="A36" s="69"/>
      <c r="B36" s="69"/>
      <c r="C36" s="69"/>
      <c r="D36" s="70"/>
      <c r="E36" s="69"/>
      <c r="F36" s="69"/>
    </row>
    <row r="37">
      <c r="A37" s="58" t="s">
        <v>906</v>
      </c>
    </row>
    <row r="38">
      <c r="A38" s="73" t="s">
        <v>907</v>
      </c>
      <c r="C38" s="73" t="s">
        <v>908</v>
      </c>
      <c r="E38" s="73" t="s">
        <v>909</v>
      </c>
      <c r="G38" s="73" t="s">
        <v>910</v>
      </c>
      <c r="I38" s="73" t="s">
        <v>911</v>
      </c>
    </row>
    <row r="39" ht="19.5" customHeight="1">
      <c r="A39" s="74" t="str">
        <f>IFERROR(__xludf.DUMMYFUNCTION("IFERROR(TEXTJOIN(CHAR(10)&amp;CHAR(10),TRUE,FILTER('WORK DESK — UPDATE'!D6:D120&amp;"" — ""&amp;'WORK DESK — UPDATE'!C6:C120,'WORK DESK — UPDATE'!I6:I120=DATE(2026,8,31),'WORK DESK — UPDATE'!J6:J120&lt;&gt;""Done"",'WORK DESK — UPDATE'!J6:J120&lt;&gt;""Dropped"")),""No due work"&amp;""")"),"Emmanuel — Confirm sellable offer is ready from Emmanuel's real-life process; capture only price/cost/margin or constraints needed for selling/management
Emmanuel — Operate Monday launch from HQ role views; confirm owners, dates, blockers and exceptions "&amp;"are current")</f>
        <v>Emmanuel — Confirm sellable offer is ready from Emmanuel's real-life process; capture only price/cost/margin or constraints needed for selling/management
Emmanuel — Operate Monday launch from HQ role views; confirm owners, dates, blockers and exceptions are current</v>
      </c>
      <c r="B39" s="75"/>
      <c r="C39" s="74" t="str">
        <f>IFERROR(__xludf.DUMMYFUNCTION("IFERROR(TEXTJOIN(CHAR(10)&amp;CHAR(10),TRUE,FILTER('WORK DESK — UPDATE'!D6:D120&amp;"" — ""&amp;'WORK DESK — UPDATE'!C6:C120,'WORK DESK — UPDATE'!I6:I120=DATE(2026,9,1),'WORK DESK — UPDATE'!J6:J120&lt;&gt;""Done"",'WORK DESK — UPDATE'!J6:J120&lt;&gt;""Dropped"")),""No due work"""&amp;")"),"Emmanuel — Build/confirm target account list
Emmanuel — Move current video/editor follow-up to next executable step")</f>
        <v>Emmanuel — Build/confirm target account list
Emmanuel — Move current video/editor follow-up to next executable step</v>
      </c>
      <c r="D39" s="75"/>
      <c r="E39" s="74" t="str">
        <f>IFERROR(__xludf.DUMMYFUNCTION("IFERROR(TEXTJOIN(CHAR(10)&amp;CHAR(10),TRUE,FILTER('WORK DESK — UPDATE'!D6:D120&amp;"" — ""&amp;'WORK DESK — UPDATE'!C6:C120,'WORK DESK — UPDATE'!I6:I120=DATE(2026,9,2),'WORK DESK — UPDATE'!J6:J120&lt;&gt;""Done"",'WORK DESK — UPDATE'!J6:J120&lt;&gt;""Dropped"")),""No due work"""&amp;")"),"Emmanuel — Execute labor schedule correction and verify effect
Emmanuel — Review subscriptions / recurring charges and surface cancellations or decisions needed")</f>
        <v>Emmanuel — Execute labor schedule correction and verify effect
Emmanuel — Review subscriptions / recurring charges and surface cancellations or decisions needed</v>
      </c>
      <c r="F39" s="75"/>
      <c r="G39" s="74" t="str">
        <f>IFERROR(__xludf.DUMMYFUNCTION("IFERROR(TEXTJOIN(CHAR(10)&amp;CHAR(10),TRUE,FILTER('WORK DESK — UPDATE'!D6:D120&amp;"" — ""&amp;'WORK DESK — UPDATE'!C6:C120,'WORK DESK — UPDATE'!I6:I120=DATE(2026,9,3),'WORK DESK — UPDATE'!J6:J120&lt;&gt;""Done"",'WORK DESK — UPDATE'!J6:J120&lt;&gt;""Dropped"")),""No due work"""&amp;")"),"Moises — Review open creditors / obligations with Emmanuel")</f>
        <v>Moises — Review open creditors / obligations with Emmanuel</v>
      </c>
      <c r="H39" s="75"/>
      <c r="I39" s="74" t="str">
        <f>IFERROR(__xludf.DUMMYFUNCTION("IFERROR(TEXTJOIN(CHAR(10)&amp;CHAR(10),TRUE,FILTER('WORK DESK — UPDATE'!D6:D120&amp;"" — ""&amp;'WORK DESK — UPDATE'!C6:C120,'WORK DESK — UPDATE'!I6:I120=DATE(2026,9,4),'WORK DESK — UPDATE'!J6:J120&lt;&gt;""Done"",'WORK DESK — UPDATE'!J6:J120&lt;&gt;""Dropped"")),""No due work"""&amp;")"),"Emmanuel — Begin outreach and schedule tastings
Moises — Confirm books/reconciliations/evidence current for weekly close
Moises — Establish lightweight personal bills / obligations source map and weekly control")</f>
        <v>Emmanuel — Begin outreach and schedule tastings
Moises — Confirm books/reconciliations/evidence current for weekly close
Moises — Establish lightweight personal bills / obligations source map and weekly control</v>
      </c>
      <c r="J39" s="76"/>
      <c r="K39" s="76"/>
      <c r="L39" s="75"/>
    </row>
    <row r="40" ht="19.5" customHeight="1">
      <c r="A40" s="77"/>
      <c r="B40" s="78"/>
      <c r="C40" s="77"/>
      <c r="D40" s="78"/>
      <c r="E40" s="77"/>
      <c r="F40" s="78"/>
      <c r="G40" s="77"/>
      <c r="H40" s="78"/>
      <c r="I40" s="77"/>
      <c r="L40" s="78"/>
    </row>
    <row r="41" ht="19.5" customHeight="1">
      <c r="A41" s="77"/>
      <c r="B41" s="78"/>
      <c r="C41" s="77"/>
      <c r="D41" s="78"/>
      <c r="E41" s="77"/>
      <c r="F41" s="78"/>
      <c r="G41" s="77"/>
      <c r="H41" s="78"/>
      <c r="I41" s="77"/>
      <c r="L41" s="78"/>
    </row>
    <row r="42" ht="19.5" customHeight="1">
      <c r="A42" s="77"/>
      <c r="B42" s="78"/>
      <c r="C42" s="77"/>
      <c r="D42" s="78"/>
      <c r="E42" s="77"/>
      <c r="F42" s="78"/>
      <c r="G42" s="77"/>
      <c r="H42" s="78"/>
      <c r="I42" s="77"/>
      <c r="L42" s="78"/>
    </row>
    <row r="43" ht="19.5" customHeight="1">
      <c r="A43" s="77"/>
      <c r="B43" s="78"/>
      <c r="C43" s="77"/>
      <c r="D43" s="78"/>
      <c r="E43" s="77"/>
      <c r="F43" s="78"/>
      <c r="G43" s="77"/>
      <c r="H43" s="78"/>
      <c r="I43" s="77"/>
      <c r="L43" s="78"/>
    </row>
    <row r="44" ht="19.5" customHeight="1">
      <c r="A44" s="77"/>
      <c r="B44" s="78"/>
      <c r="C44" s="77"/>
      <c r="D44" s="78"/>
      <c r="E44" s="77"/>
      <c r="F44" s="78"/>
      <c r="G44" s="77"/>
      <c r="H44" s="78"/>
      <c r="I44" s="77"/>
      <c r="L44" s="78"/>
    </row>
    <row r="45" ht="19.5" customHeight="1">
      <c r="A45" s="79"/>
      <c r="B45" s="80"/>
      <c r="C45" s="79"/>
      <c r="D45" s="80"/>
      <c r="E45" s="79"/>
      <c r="F45" s="80"/>
      <c r="G45" s="79"/>
      <c r="H45" s="80"/>
      <c r="I45" s="79"/>
      <c r="J45" s="81"/>
      <c r="K45" s="81"/>
      <c r="L45" s="80"/>
    </row>
  </sheetData>
  <mergeCells count="19">
    <mergeCell ref="A1:L2"/>
    <mergeCell ref="A3:L3"/>
    <mergeCell ref="A5:C7"/>
    <mergeCell ref="D5:F7"/>
    <mergeCell ref="G5:I7"/>
    <mergeCell ref="J5:L7"/>
    <mergeCell ref="A9:L9"/>
    <mergeCell ref="A39:B45"/>
    <mergeCell ref="C39:D45"/>
    <mergeCell ref="E39:F45"/>
    <mergeCell ref="G39:H45"/>
    <mergeCell ref="I39:L45"/>
    <mergeCell ref="A25:L25"/>
    <mergeCell ref="A37:L37"/>
    <mergeCell ref="A38:B38"/>
    <mergeCell ref="C38:D38"/>
    <mergeCell ref="E38:F38"/>
    <mergeCell ref="G38:H38"/>
    <mergeCell ref="I38:L38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29"/>
    <col customWidth="1" min="2" max="2" width="36.57"/>
    <col customWidth="1" min="3" max="7" width="17.29"/>
  </cols>
  <sheetData>
    <row r="1">
      <c r="A1" s="56" t="s">
        <v>862</v>
      </c>
    </row>
    <row r="3">
      <c r="A3" s="68" t="s">
        <v>890</v>
      </c>
    </row>
    <row r="5">
      <c r="A5" s="54" t="str">
        <f>IFERROR(__xludf.DUMMYFUNCTION("""EDIBLE SALES""&amp;CHAR(10)&amp;""$""&amp;TEXT(INDEX(FILTER('04_KPI_RESULTS'!E:E,'04_KPI_RESULTS'!C:C=""Net Sales""),1),""#,##0"")&amp;"" / $""&amp;TEXT(INDEX(FILTER('04_KPI_RESULTS'!D:D,'04_KPI_RESULTS'!C:C=""Net Sales""),1),""#,##0"")"),"EDIBLE SALES
$7,547 / $9,300")</f>
        <v>EDIBLE SALES
$7,547 / $9,300</v>
      </c>
      <c r="B5" s="55"/>
      <c r="C5" s="57"/>
      <c r="D5" s="54" t="str">
        <f>IFERROR(__xludf.DUMMYFUNCTION("""EDIBLE LABOR""&amp;CHAR(10)&amp;TEXT(INDEX(FILTER('04_KPI_RESULTS'!E:E,'04_KPI_RESULTS'!C:C=""Labor %""),1),""0.0%"")&amp;"" / ""&amp;TEXT(INDEX(FILTER('04_KPI_RESULTS'!D:D,'04_KPI_RESULTS'!C:C=""Labor %""),1),""0.0%"")"),"EDIBLE LABOR
35.5% / 22.0%")</f>
        <v>EDIBLE LABOR
35.5% / 22.0%</v>
      </c>
      <c r="E5" s="55"/>
      <c r="F5" s="57"/>
      <c r="G5" s="54" t="str">
        <f>IFERROR(__xludf.DUMMYFUNCTION("""GARDENIA'S ACCOUNTS""&amp;CHAR(10)&amp;IF(IFERROR(INDEX(FILTER('04_KPI_RESULTS'!E:E,'04_KPI_RESULTS'!C:C=""Standing Accounts""),1),"""")="""",""NOT REPORTED"",INDEX(FILTER('04_KPI_RESULTS'!E:E,'04_KPI_RESULTS'!C:C=""Standing Accounts""),1))"),"GARDENIA'S ACCOUNTS
NOT REPORTED")</f>
        <v>GARDENIA'S ACCOUNTS
NOT REPORTED</v>
      </c>
      <c r="H5" s="55"/>
      <c r="I5" s="57"/>
      <c r="J5" s="54" t="str">
        <f>"FINANCE CONTROLS OPEN"&amp;CHAR(10)&amp;COUNTIFS('WEEK CLOSE — UPDATE'!B:B,"Finance &amp; Office",'WEEK CLOSE — UPDATE'!G:G,"&lt;&gt;Done")</f>
        <v>FINANCE CONTROLS OPEN
4</v>
      </c>
      <c r="K5" s="55"/>
      <c r="L5" s="57"/>
    </row>
    <row r="6">
      <c r="A6" s="61"/>
      <c r="C6" s="62"/>
      <c r="D6" s="61"/>
      <c r="F6" s="62"/>
      <c r="G6" s="61"/>
      <c r="I6" s="62"/>
      <c r="J6" s="61"/>
      <c r="L6" s="62"/>
    </row>
    <row r="7">
      <c r="A7" s="63"/>
      <c r="B7" s="64"/>
      <c r="C7" s="65"/>
      <c r="D7" s="63"/>
      <c r="E7" s="64"/>
      <c r="F7" s="65"/>
      <c r="G7" s="63"/>
      <c r="H7" s="64"/>
      <c r="I7" s="65"/>
      <c r="J7" s="63"/>
      <c r="K7" s="64"/>
      <c r="L7" s="65"/>
    </row>
    <row r="9">
      <c r="A9" s="82" t="s">
        <v>912</v>
      </c>
    </row>
    <row r="10">
      <c r="A10" s="67" t="s">
        <v>891</v>
      </c>
      <c r="B10" s="67" t="s">
        <v>960</v>
      </c>
      <c r="C10" s="67" t="s">
        <v>961</v>
      </c>
      <c r="D10" s="67" t="s">
        <v>962</v>
      </c>
      <c r="E10" s="67" t="s">
        <v>963</v>
      </c>
      <c r="F10" s="67" t="s">
        <v>964</v>
      </c>
      <c r="G10" s="67" t="s">
        <v>69</v>
      </c>
    </row>
    <row r="11">
      <c r="A11" s="69" t="str">
        <f>IFERROR(__xludf.DUMMYFUNCTION("IFERROR(FILTER(HSTACK('04_KPI_RESULTS'!B2:B120,'04_KPI_RESULTS'!C2:C120,IF('04_KPI_RESULTS'!C2:C120=""Net Sales"",""$""&amp;TEXT('04_KPI_RESULTS'!D2:D120,""#,##0""),IF(REGEXMATCH('04_KPI_RESULTS'!C2:C120,""%""),IF('04_KPI_RESULTS'!D2:D120="""","""",TEXT('04_K"&amp;"PI_RESULTS'!D2:D120,""0.0%"")),'04_KPI_RESULTS'!D2:D120)),IF('04_KPI_RESULTS'!C2:C120=""Net Sales"",""$""&amp;TEXT('04_KPI_RESULTS'!E2:E120,""#,##0""),IF(REGEXMATCH('04_KPI_RESULTS'!C2:C120,""%""),IF('04_KPI_RESULTS'!E2:E120="""","""",TEXT('04_KPI_RESULTS'!E2"&amp;":E120,""0.0%"")),'04_KPI_RESULTS'!E2:E120)),'04_KPI_RESULTS'!F2:F120,'04_KPI_RESULTS'!G2:G120,'04_KPI_RESULTS'!I2:I120),'04_KPI_RESULTS'!B2:B120&lt;&gt;""""),""No KPI records"")"),"Edible Operations")</f>
        <v>Edible Operations</v>
      </c>
      <c r="B11" s="69" t="str">
        <f>IFERROR(__xludf.DUMMYFUNCTION("""COMPUTED_VALUE"""),"Net Sales")</f>
        <v>Net Sales</v>
      </c>
      <c r="C11" s="69" t="str">
        <f>IFERROR(__xludf.DUMMYFUNCTION("""COMPUTED_VALUE"""),"$9,300")</f>
        <v>$9,300</v>
      </c>
      <c r="D11" s="69" t="str">
        <f>IFERROR(__xludf.DUMMYFUNCTION("""COMPUTED_VALUE"""),"$7,547")</f>
        <v>$7,547</v>
      </c>
      <c r="E11" s="69" t="str">
        <f>IFERROR(__xludf.DUMMYFUNCTION("""COMPUTED_VALUE"""),"Down")</f>
        <v>Down</v>
      </c>
      <c r="F11" s="69" t="str">
        <f>IFERROR(__xludf.DUMMYFUNCTION("""COMPUTED_VALUE"""),"Below target")</f>
        <v>Below target</v>
      </c>
      <c r="G11" s="69" t="str">
        <f>IFERROR(__xludf.DUMMYFUNCTION("""COMPUTED_VALUE"""),"Emmanuel")</f>
        <v>Emmanuel</v>
      </c>
    </row>
    <row r="12">
      <c r="A12" s="69" t="str">
        <f>IFERROR(__xludf.DUMMYFUNCTION("""COMPUTED_VALUE"""),"Edible Operations")</f>
        <v>Edible Operations</v>
      </c>
      <c r="B12" s="69" t="str">
        <f>IFERROR(__xludf.DUMMYFUNCTION("""COMPUTED_VALUE"""),"Labor %")</f>
        <v>Labor %</v>
      </c>
      <c r="C12" s="69" t="str">
        <f>IFERROR(__xludf.DUMMYFUNCTION("""COMPUTED_VALUE"""),"22.0%")</f>
        <v>22.0%</v>
      </c>
      <c r="D12" s="69" t="str">
        <f>IFERROR(__xludf.DUMMYFUNCTION("""COMPUTED_VALUE"""),"35.5%")</f>
        <v>35.5%</v>
      </c>
      <c r="E12" s="69" t="str">
        <f>IFERROR(__xludf.DUMMYFUNCTION("""COMPUTED_VALUE"""),"Up / Bad")</f>
        <v>Up / Bad</v>
      </c>
      <c r="F12" s="69" t="str">
        <f>IFERROR(__xludf.DUMMYFUNCTION("""COMPUTED_VALUE"""),"Materially above target")</f>
        <v>Materially above target</v>
      </c>
      <c r="G12" s="69" t="str">
        <f>IFERROR(__xludf.DUMMYFUNCTION("""COMPUTED_VALUE"""),"Emmanuel")</f>
        <v>Emmanuel</v>
      </c>
    </row>
    <row r="13">
      <c r="A13" s="69" t="str">
        <f>IFERROR(__xludf.DUMMYFUNCTION("""COMPUTED_VALUE"""),"Edible Operations")</f>
        <v>Edible Operations</v>
      </c>
      <c r="B13" s="69" t="str">
        <f>IFERROR(__xludf.DUMMYFUNCTION("""COMPUTED_VALUE"""),"Refund + Void %")</f>
        <v>Refund + Void %</v>
      </c>
      <c r="C13" s="69" t="str">
        <f>IFERROR(__xludf.DUMMYFUNCTION("""COMPUTED_VALUE"""),"")</f>
        <v/>
      </c>
      <c r="D13" s="69" t="str">
        <f>IFERROR(__xludf.DUMMYFUNCTION("""COMPUTED_VALUE"""),"3.7%")</f>
        <v>3.7%</v>
      </c>
      <c r="E13" s="69"/>
      <c r="F13" s="69" t="str">
        <f>IFERROR(__xludf.DUMMYFUNCTION("""COMPUTED_VALUE"""),"Elevated")</f>
        <v>Elevated</v>
      </c>
      <c r="G13" s="69" t="str">
        <f>IFERROR(__xludf.DUMMYFUNCTION("""COMPUTED_VALUE"""),"Emmanuel")</f>
        <v>Emmanuel</v>
      </c>
    </row>
    <row r="14">
      <c r="A14" s="69" t="str">
        <f>IFERROR(__xludf.DUMMYFUNCTION("""COMPUTED_VALUE"""),"Gardenia's Fire")</f>
        <v>Gardenia's Fire</v>
      </c>
      <c r="B14" s="69" t="str">
        <f>IFERROR(__xludf.DUMMYFUNCTION("""COMPUTED_VALUE"""),"Prospects Identified")</f>
        <v>Prospects Identified</v>
      </c>
      <c r="C14" s="69"/>
      <c r="D14" s="69"/>
      <c r="E14" s="69"/>
      <c r="F14" s="69"/>
      <c r="G14" s="69" t="str">
        <f>IFERROR(__xludf.DUMMYFUNCTION("""COMPUTED_VALUE"""),"Emmanuel")</f>
        <v>Emmanuel</v>
      </c>
    </row>
    <row r="15">
      <c r="A15" s="69" t="str">
        <f>IFERROR(__xludf.DUMMYFUNCTION("""COMPUTED_VALUE"""),"Gardenia's Fire")</f>
        <v>Gardenia's Fire</v>
      </c>
      <c r="B15" s="69" t="str">
        <f>IFERROR(__xludf.DUMMYFUNCTION("""COMPUTED_VALUE"""),"Contacts Made")</f>
        <v>Contacts Made</v>
      </c>
      <c r="C15" s="69"/>
      <c r="D15" s="69"/>
      <c r="E15" s="69"/>
      <c r="F15" s="69"/>
      <c r="G15" s="69" t="str">
        <f>IFERROR(__xludf.DUMMYFUNCTION("""COMPUTED_VALUE"""),"Emmanuel")</f>
        <v>Emmanuel</v>
      </c>
    </row>
    <row r="16">
      <c r="A16" s="69" t="str">
        <f>IFERROR(__xludf.DUMMYFUNCTION("""COMPUTED_VALUE"""),"Gardenia's Fire")</f>
        <v>Gardenia's Fire</v>
      </c>
      <c r="B16" s="69" t="str">
        <f>IFERROR(__xludf.DUMMYFUNCTION("""COMPUTED_VALUE"""),"Tastings")</f>
        <v>Tastings</v>
      </c>
      <c r="C16" s="69"/>
      <c r="D16" s="69"/>
      <c r="E16" s="69"/>
      <c r="F16" s="69"/>
      <c r="G16" s="69" t="str">
        <f>IFERROR(__xludf.DUMMYFUNCTION("""COMPUTED_VALUE"""),"Emmanuel")</f>
        <v>Emmanuel</v>
      </c>
    </row>
    <row r="17">
      <c r="A17" s="69" t="str">
        <f>IFERROR(__xludf.DUMMYFUNCTION("""COMPUTED_VALUE"""),"Gardenia's Fire")</f>
        <v>Gardenia's Fire</v>
      </c>
      <c r="B17" s="69" t="str">
        <f>IFERROR(__xludf.DUMMYFUNCTION("""COMPUTED_VALUE"""),"Standing Accounts")</f>
        <v>Standing Accounts</v>
      </c>
      <c r="C17" s="69"/>
      <c r="D17" s="69"/>
      <c r="E17" s="69"/>
      <c r="F17" s="69"/>
      <c r="G17" s="69" t="str">
        <f>IFERROR(__xludf.DUMMYFUNCTION("""COMPUTED_VALUE"""),"Emmanuel")</f>
        <v>Emmanuel</v>
      </c>
    </row>
    <row r="18">
      <c r="A18" s="69" t="str">
        <f>IFERROR(__xludf.DUMMYFUNCTION("""COMPUTED_VALUE"""),"Gardenia's Fire")</f>
        <v>Gardenia's Fire</v>
      </c>
      <c r="B18" s="69" t="str">
        <f>IFERROR(__xludf.DUMMYFUNCTION("""COMPUTED_VALUE"""),"Weekly Revenue")</f>
        <v>Weekly Revenue</v>
      </c>
      <c r="C18" s="69"/>
      <c r="D18" s="69"/>
      <c r="E18" s="69"/>
      <c r="F18" s="69"/>
      <c r="G18" s="69" t="str">
        <f>IFERROR(__xludf.DUMMYFUNCTION("""COMPUTED_VALUE"""),"Emmanuel")</f>
        <v>Emmanuel</v>
      </c>
    </row>
    <row r="19">
      <c r="A19" s="69"/>
      <c r="B19" s="69"/>
      <c r="C19" s="69"/>
      <c r="D19" s="69"/>
      <c r="E19" s="69"/>
      <c r="F19" s="69"/>
      <c r="G19" s="69"/>
    </row>
    <row r="20">
      <c r="A20" s="69"/>
      <c r="B20" s="69"/>
      <c r="C20" s="69"/>
      <c r="D20" s="69"/>
      <c r="E20" s="69"/>
      <c r="F20" s="69"/>
      <c r="G20" s="69"/>
    </row>
    <row r="21">
      <c r="A21" s="69"/>
      <c r="B21" s="69"/>
      <c r="C21" s="69"/>
      <c r="D21" s="69"/>
      <c r="E21" s="69"/>
      <c r="F21" s="69"/>
      <c r="G21" s="69"/>
    </row>
    <row r="22">
      <c r="A22" s="69"/>
      <c r="B22" s="69"/>
      <c r="C22" s="69"/>
      <c r="D22" s="69"/>
      <c r="E22" s="69"/>
      <c r="F22" s="69"/>
      <c r="G22" s="69"/>
    </row>
    <row r="23">
      <c r="A23" s="69"/>
      <c r="B23" s="69"/>
      <c r="C23" s="69"/>
      <c r="D23" s="69"/>
      <c r="E23" s="69"/>
      <c r="F23" s="69"/>
      <c r="G23" s="69"/>
    </row>
    <row r="24">
      <c r="A24" s="69"/>
      <c r="B24" s="69"/>
      <c r="C24" s="69"/>
      <c r="D24" s="69"/>
      <c r="E24" s="69"/>
      <c r="F24" s="69"/>
      <c r="G24" s="69"/>
    </row>
    <row r="25">
      <c r="A25" s="69" t="s">
        <v>965</v>
      </c>
      <c r="B25" s="69"/>
      <c r="C25" s="69"/>
      <c r="D25" s="69"/>
      <c r="E25" s="69"/>
      <c r="F25" s="69"/>
      <c r="G25" s="69"/>
    </row>
    <row r="26">
      <c r="A26" s="94" t="s">
        <v>902</v>
      </c>
    </row>
    <row r="27">
      <c r="A27" s="94" t="s">
        <v>891</v>
      </c>
      <c r="B27" s="94" t="s">
        <v>892</v>
      </c>
      <c r="C27" s="94" t="s">
        <v>69</v>
      </c>
      <c r="D27" s="94" t="s">
        <v>70</v>
      </c>
      <c r="E27" s="94" t="s">
        <v>71</v>
      </c>
      <c r="F27" s="94" t="s">
        <v>897</v>
      </c>
      <c r="G27" s="69"/>
    </row>
    <row r="28">
      <c r="A28" s="69" t="str">
        <f>IFERROR(__xludf.DUMMYFUNCTION("IFERROR(FILTER(HSTACK('WORK DESK — UPDATE'!B6:B120,'WORK DESK — UPDATE'!C6:C120,'WORK DESK — UPDATE'!D6:D120,'WORK DESK — UPDATE'!I6:I120,'WORK DESK — UPDATE'!J6:J120,'WORK DESK — UPDATE'!K6:K120),(('WORK DESK — UPDATE'!Q6:Q120=""Yes"")+('WORK DESK — UPDA"&amp;"TE'!L6:L120=""Yes""))&gt;0,'WORK DESK — UPDATE'!J6:J120&lt;&gt;""Done""),""No management exceptions"")"),"Edible Operations")</f>
        <v>Edible Operations</v>
      </c>
      <c r="B28" s="69" t="str">
        <f>IFERROR(__xludf.DUMMYFUNCTION("""COMPUTED_VALUE"""),"Execute labor schedule correction and verify effect")</f>
        <v>Execute labor schedule correction and verify effect</v>
      </c>
      <c r="C28" s="69" t="str">
        <f>IFERROR(__xludf.DUMMYFUNCTION("""COMPUTED_VALUE"""),"Emmanuel")</f>
        <v>Emmanuel</v>
      </c>
      <c r="D28" s="70">
        <f>IFERROR(__xludf.DUMMYFUNCTION("""COMPUTED_VALUE"""),46267.0)</f>
        <v>46267</v>
      </c>
      <c r="E28" s="69" t="str">
        <f>IFERROR(__xludf.DUMMYFUNCTION("""COMPUTED_VALUE"""),"In Progress")</f>
        <v>In Progress</v>
      </c>
      <c r="F28" s="69"/>
      <c r="G28" s="69"/>
    </row>
    <row r="29">
      <c r="A29" s="69" t="str">
        <f>IFERROR(__xludf.DUMMYFUNCTION("""COMPUTED_VALUE"""),"Finance &amp; Office")</f>
        <v>Finance &amp; Office</v>
      </c>
      <c r="B29" s="69" t="str">
        <f>IFERROR(__xludf.DUMMYFUNCTION("""COMPUTED_VALUE"""),"Confirm books/reconciliations/evidence current for weekly close")</f>
        <v>Confirm books/reconciliations/evidence current for weekly close</v>
      </c>
      <c r="C29" s="69" t="str">
        <f>IFERROR(__xludf.DUMMYFUNCTION("""COMPUTED_VALUE"""),"Moises")</f>
        <v>Moises</v>
      </c>
      <c r="D29" s="70">
        <f>IFERROR(__xludf.DUMMYFUNCTION("""COMPUTED_VALUE"""),46269.0)</f>
        <v>46269</v>
      </c>
      <c r="E29" s="69" t="str">
        <f>IFERROR(__xludf.DUMMYFUNCTION("""COMPUTED_VALUE"""),"Open")</f>
        <v>Open</v>
      </c>
      <c r="F29" s="69"/>
      <c r="G29" s="69"/>
    </row>
    <row r="30">
      <c r="A30" s="69" t="str">
        <f>IFERROR(__xludf.DUMMYFUNCTION("""COMPUTED_VALUE"""),"Finance &amp; Office")</f>
        <v>Finance &amp; Office</v>
      </c>
      <c r="B30" s="69" t="str">
        <f>IFERROR(__xludf.DUMMYFUNCTION("""COMPUTED_VALUE"""),"Review open creditors / obligations with Emmanuel")</f>
        <v>Review open creditors / obligations with Emmanuel</v>
      </c>
      <c r="C30" s="69" t="str">
        <f>IFERROR(__xludf.DUMMYFUNCTION("""COMPUTED_VALUE"""),"Moises")</f>
        <v>Moises</v>
      </c>
      <c r="D30" s="70">
        <f>IFERROR(__xludf.DUMMYFUNCTION("""COMPUTED_VALUE"""),46268.0)</f>
        <v>46268</v>
      </c>
      <c r="E30" s="69" t="str">
        <f>IFERROR(__xludf.DUMMYFUNCTION("""COMPUTED_VALUE"""),"Open")</f>
        <v>Open</v>
      </c>
      <c r="F30" s="69" t="str">
        <f>IFERROR(__xludf.DUMMYFUNCTION("""COMPUTED_VALUE"""),"Emmanuel")</f>
        <v>Emmanuel</v>
      </c>
      <c r="G30" s="69"/>
    </row>
    <row r="31">
      <c r="A31" s="69"/>
      <c r="B31" s="69"/>
      <c r="C31" s="69"/>
      <c r="D31" s="70"/>
      <c r="E31" s="69"/>
      <c r="F31" s="69"/>
      <c r="G31" s="69"/>
    </row>
    <row r="32">
      <c r="A32" s="69"/>
      <c r="B32" s="69"/>
      <c r="C32" s="69"/>
      <c r="D32" s="70"/>
      <c r="E32" s="69"/>
      <c r="F32" s="69"/>
      <c r="G32" s="69"/>
    </row>
    <row r="33">
      <c r="A33" s="69"/>
      <c r="B33" s="69"/>
      <c r="C33" s="69"/>
      <c r="D33" s="70"/>
      <c r="E33" s="69"/>
      <c r="F33" s="69"/>
      <c r="G33" s="69"/>
    </row>
    <row r="34">
      <c r="A34" s="69"/>
      <c r="B34" s="69"/>
      <c r="C34" s="69"/>
      <c r="D34" s="70"/>
      <c r="E34" s="69"/>
      <c r="F34" s="69"/>
      <c r="G34" s="69"/>
    </row>
    <row r="35">
      <c r="A35" s="69"/>
      <c r="B35" s="69"/>
      <c r="C35" s="69"/>
      <c r="D35" s="70"/>
      <c r="E35" s="69"/>
      <c r="F35" s="69"/>
      <c r="G35" s="69"/>
    </row>
    <row r="36">
      <c r="A36" s="69"/>
      <c r="B36" s="69"/>
      <c r="C36" s="69"/>
      <c r="D36" s="70"/>
      <c r="E36" s="69"/>
      <c r="F36" s="69"/>
      <c r="G36" s="69"/>
    </row>
    <row r="37">
      <c r="A37" s="69"/>
      <c r="B37" s="69"/>
      <c r="C37" s="69"/>
      <c r="D37" s="70"/>
      <c r="E37" s="69"/>
      <c r="F37" s="69"/>
      <c r="G37" s="69"/>
    </row>
    <row r="38">
      <c r="A38" s="69"/>
      <c r="B38" s="69"/>
      <c r="C38" s="69"/>
      <c r="D38" s="70"/>
      <c r="E38" s="69"/>
      <c r="F38" s="69"/>
      <c r="G38" s="69"/>
    </row>
    <row r="39">
      <c r="A39" s="69" t="s">
        <v>966</v>
      </c>
      <c r="B39" s="69"/>
      <c r="C39" s="69"/>
      <c r="D39" s="70"/>
      <c r="E39" s="69"/>
      <c r="F39" s="69"/>
      <c r="G39" s="69"/>
    </row>
    <row r="40">
      <c r="A40" s="94" t="s">
        <v>902</v>
      </c>
    </row>
    <row r="41">
      <c r="A41" s="94" t="s">
        <v>903</v>
      </c>
      <c r="B41" s="94" t="s">
        <v>904</v>
      </c>
      <c r="C41" s="94" t="s">
        <v>69</v>
      </c>
      <c r="D41" s="94" t="s">
        <v>70</v>
      </c>
      <c r="E41" s="94" t="s">
        <v>71</v>
      </c>
      <c r="F41" s="94" t="s">
        <v>967</v>
      </c>
      <c r="G41" s="69"/>
    </row>
    <row r="42">
      <c r="A42" s="69" t="str">
        <f>IFERROR(__xludf.DUMMYFUNCTION("IFERROR(FILTER(HSTACK('WEEK CLOSE — UPDATE'!B2:B120,'WEEK CLOSE — UPDATE'!C2:C120,'WEEK CLOSE — UPDATE'!D2:D120,'WEEK CLOSE — UPDATE'!F2:F120,'WEEK CLOSE — UPDATE'!G2:G120,'WEEK CLOSE — UPDATE'!J2:J120),'WEEK CLOSE — UPDATE'!I2:I120=""Yes""),""No control "&amp;"exceptions"")"),"No control exceptions")</f>
        <v>No control exceptions</v>
      </c>
      <c r="B42" s="69"/>
      <c r="C42" s="69"/>
      <c r="D42" s="70"/>
      <c r="E42" s="69"/>
      <c r="F42" s="69"/>
      <c r="G42" s="69"/>
    </row>
    <row r="43">
      <c r="A43" s="94" t="s">
        <v>902</v>
      </c>
      <c r="B43" s="69"/>
      <c r="C43" s="69"/>
      <c r="D43" s="70"/>
      <c r="E43" s="69"/>
      <c r="F43" s="69"/>
      <c r="G43" s="69"/>
    </row>
    <row r="44">
      <c r="A44" s="69"/>
      <c r="B44" s="69"/>
      <c r="C44" s="69"/>
      <c r="D44" s="70"/>
      <c r="E44" s="69"/>
      <c r="F44" s="69"/>
      <c r="G44" s="69"/>
    </row>
    <row r="45">
      <c r="A45" s="69"/>
      <c r="B45" s="69"/>
      <c r="C45" s="69"/>
      <c r="D45" s="70"/>
      <c r="E45" s="69"/>
      <c r="F45" s="69"/>
      <c r="G45" s="69"/>
    </row>
    <row r="46">
      <c r="A46" s="69"/>
      <c r="B46" s="69"/>
      <c r="C46" s="69"/>
      <c r="D46" s="70"/>
      <c r="E46" s="69"/>
      <c r="F46" s="69"/>
      <c r="G46" s="69"/>
    </row>
    <row r="47">
      <c r="A47" s="69"/>
      <c r="B47" s="69"/>
      <c r="C47" s="69"/>
      <c r="D47" s="70"/>
      <c r="E47" s="69"/>
      <c r="F47" s="69"/>
      <c r="G47" s="69"/>
    </row>
    <row r="48">
      <c r="A48" s="69"/>
      <c r="B48" s="69"/>
      <c r="C48" s="69"/>
      <c r="D48" s="70"/>
      <c r="E48" s="69"/>
      <c r="F48" s="69"/>
      <c r="G48" s="69"/>
    </row>
    <row r="49">
      <c r="A49" s="69"/>
      <c r="B49" s="69"/>
      <c r="C49" s="69"/>
      <c r="D49" s="70"/>
      <c r="E49" s="69"/>
      <c r="F49" s="69"/>
      <c r="G49" s="69"/>
    </row>
    <row r="50">
      <c r="A50" s="69"/>
      <c r="B50" s="69"/>
      <c r="C50" s="69"/>
      <c r="D50" s="70"/>
      <c r="E50" s="69"/>
      <c r="F50" s="69"/>
      <c r="G50" s="69"/>
    </row>
    <row r="51">
      <c r="A51" s="69"/>
      <c r="B51" s="69"/>
      <c r="C51" s="69"/>
      <c r="D51" s="70"/>
      <c r="E51" s="69"/>
      <c r="F51" s="69"/>
      <c r="G51" s="69"/>
    </row>
    <row r="52">
      <c r="A52" s="69"/>
      <c r="B52" s="69"/>
      <c r="C52" s="69"/>
      <c r="D52" s="70"/>
      <c r="E52" s="69"/>
      <c r="F52" s="69"/>
      <c r="G52" s="69"/>
    </row>
    <row r="53">
      <c r="A53" s="69"/>
      <c r="B53" s="69"/>
      <c r="C53" s="69"/>
      <c r="D53" s="70"/>
      <c r="E53" s="69"/>
      <c r="F53" s="69"/>
      <c r="G53" s="69"/>
    </row>
    <row r="54">
      <c r="A54" s="69"/>
      <c r="B54" s="69"/>
      <c r="C54" s="69"/>
      <c r="D54" s="70"/>
      <c r="E54" s="69"/>
      <c r="F54" s="69"/>
      <c r="G54" s="69"/>
    </row>
    <row r="55">
      <c r="A55" s="69"/>
      <c r="B55" s="69"/>
      <c r="C55" s="69"/>
      <c r="D55" s="70"/>
      <c r="E55" s="69"/>
      <c r="F55" s="69"/>
      <c r="G55" s="69"/>
    </row>
    <row r="56">
      <c r="A56" s="69"/>
      <c r="B56" s="69"/>
      <c r="C56" s="69"/>
      <c r="D56" s="69"/>
      <c r="E56" s="69"/>
      <c r="F56" s="69"/>
      <c r="G56" s="69"/>
    </row>
    <row r="57">
      <c r="A57" s="69"/>
      <c r="B57" s="69"/>
      <c r="C57" s="69"/>
      <c r="D57" s="69"/>
      <c r="E57" s="69"/>
      <c r="F57" s="69"/>
      <c r="G57" s="69"/>
    </row>
    <row r="58">
      <c r="A58" s="69"/>
      <c r="B58" s="69"/>
      <c r="C58" s="69"/>
      <c r="D58" s="69"/>
      <c r="E58" s="69"/>
      <c r="F58" s="69"/>
      <c r="G58" s="69"/>
    </row>
    <row r="59">
      <c r="A59" s="69"/>
      <c r="B59" s="69"/>
      <c r="C59" s="69"/>
      <c r="D59" s="69"/>
      <c r="E59" s="69"/>
      <c r="F59" s="69"/>
      <c r="G59" s="69"/>
    </row>
    <row r="60">
      <c r="A60" s="69"/>
      <c r="B60" s="69"/>
      <c r="C60" s="69"/>
      <c r="D60" s="69"/>
      <c r="E60" s="69"/>
      <c r="F60" s="69"/>
      <c r="G60" s="69"/>
    </row>
  </sheetData>
  <mergeCells count="9">
    <mergeCell ref="A26:L26"/>
    <mergeCell ref="A40:L40"/>
    <mergeCell ref="A1:L2"/>
    <mergeCell ref="A3:L3"/>
    <mergeCell ref="A5:C7"/>
    <mergeCell ref="D5:F7"/>
    <mergeCell ref="G5:I7"/>
    <mergeCell ref="J5:L7"/>
    <mergeCell ref="A9:L9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8" width="15.86"/>
    <col customWidth="1" min="9" max="10" width="25.86"/>
    <col customWidth="1" min="11" max="14" width="15.86"/>
  </cols>
  <sheetData>
    <row r="1">
      <c r="A1" s="44" t="s">
        <v>913</v>
      </c>
    </row>
    <row r="3">
      <c r="A3" s="83"/>
    </row>
    <row r="5">
      <c r="A5" s="84" t="str">
        <f>IFERROR(__xludf.DUMMYFUNCTION("""NET SALES\n$""&amp;TEXT(INDEX(FILTER('04_KPI_RESULTS'!E:E,'04_KPI_RESULTS'!C:C=""Net Sales""),1),""#,##0"")&amp;"" / $""&amp;TEXT(INDEX(FILTER('04_KPI_RESULTS'!D:D,'04_KPI_RESULTS'!C:C=""Net Sales""),1),""#,##0"")"),"NET SALES\n$7,547 / $9,300")</f>
        <v>NET SALES\n$7,547 / $9,300</v>
      </c>
      <c r="B5" s="85"/>
      <c r="C5" s="11"/>
      <c r="D5" s="84" t="str">
        <f>IFERROR(__xludf.DUMMYFUNCTION("""LABOR\n""&amp;TEXT(INDEX(FILTER('04_KPI_RESULTS'!E:E,'04_KPI_RESULTS'!C:C=""Labor %""),1),""0.0%"")&amp;"" / ""&amp;TEXT(INDEX(FILTER('04_KPI_RESULTS'!D:D,'04_KPI_RESULTS'!C:C=""Labor %""),1),""0.0%"")"),"LABOR\n35.5% / 22.0%")</f>
        <v>LABOR\n35.5% / 22.0%</v>
      </c>
      <c r="E5" s="47"/>
      <c r="F5" s="12"/>
      <c r="G5" s="84" t="str">
        <f>IFERROR(__xludf.DUMMYFUNCTION("""REFUND + VOID\n""&amp;TEXT(INDEX(FILTER('04_KPI_RESULTS'!E:E,'04_KPI_RESULTS'!C:C=""Refund + Void %""),1),""0.0%"")"),"REFUND + VOID\n3.7%")</f>
        <v>REFUND + VOID\n3.7%</v>
      </c>
      <c r="H5" s="47"/>
      <c r="I5" s="12"/>
      <c r="J5" s="86" t="s">
        <v>914</v>
      </c>
      <c r="K5" s="47"/>
      <c r="L5" s="47"/>
      <c r="M5" s="47"/>
      <c r="N5" s="12"/>
    </row>
    <row r="6">
      <c r="A6" s="16"/>
      <c r="C6" s="17"/>
      <c r="D6" s="16"/>
      <c r="F6" s="17"/>
      <c r="G6" s="16"/>
      <c r="I6" s="17"/>
      <c r="J6" s="16"/>
      <c r="N6" s="17"/>
    </row>
    <row r="7">
      <c r="A7" s="19"/>
      <c r="B7" s="53"/>
      <c r="C7" s="20"/>
      <c r="D7" s="19"/>
      <c r="E7" s="53"/>
      <c r="F7" s="20"/>
      <c r="G7" s="19"/>
      <c r="H7" s="53"/>
      <c r="I7" s="20"/>
      <c r="J7" s="19"/>
      <c r="K7" s="53"/>
      <c r="L7" s="53"/>
      <c r="M7" s="53"/>
      <c r="N7" s="20"/>
    </row>
    <row r="10">
      <c r="A10" s="27" t="s">
        <v>915</v>
      </c>
    </row>
    <row r="11">
      <c r="A11" s="87" t="s">
        <v>916</v>
      </c>
      <c r="B11" s="87" t="s">
        <v>917</v>
      </c>
      <c r="C11" s="87" t="s">
        <v>17</v>
      </c>
      <c r="D11" s="87" t="s">
        <v>18</v>
      </c>
      <c r="E11" s="87" t="s">
        <v>19</v>
      </c>
      <c r="F11" s="87" t="s">
        <v>20</v>
      </c>
      <c r="G11" s="87" t="s">
        <v>21</v>
      </c>
      <c r="H11" s="87" t="s">
        <v>22</v>
      </c>
      <c r="I11" s="87" t="s">
        <v>918</v>
      </c>
      <c r="J11" s="87" t="s">
        <v>919</v>
      </c>
    </row>
    <row r="12">
      <c r="A12" s="88" t="s">
        <v>920</v>
      </c>
      <c r="B12" s="88" t="s">
        <v>356</v>
      </c>
      <c r="C12" s="88" t="s">
        <v>921</v>
      </c>
      <c r="D12" s="88" t="s">
        <v>922</v>
      </c>
      <c r="E12" s="88" t="s">
        <v>921</v>
      </c>
      <c r="F12" s="88" t="s">
        <v>922</v>
      </c>
      <c r="G12" s="88" t="s">
        <v>922</v>
      </c>
      <c r="H12" s="88" t="s">
        <v>922</v>
      </c>
      <c r="I12" s="88" t="s">
        <v>923</v>
      </c>
      <c r="J12" s="88" t="s">
        <v>924</v>
      </c>
    </row>
    <row r="13">
      <c r="A13" s="88" t="s">
        <v>925</v>
      </c>
      <c r="B13" s="88" t="s">
        <v>926</v>
      </c>
      <c r="C13" s="88" t="s">
        <v>927</v>
      </c>
      <c r="D13" s="88" t="s">
        <v>927</v>
      </c>
      <c r="E13" s="88" t="s">
        <v>927</v>
      </c>
      <c r="F13" s="88" t="s">
        <v>927</v>
      </c>
      <c r="G13" s="88" t="s">
        <v>927</v>
      </c>
      <c r="H13" s="88" t="s">
        <v>927</v>
      </c>
      <c r="I13" s="88" t="s">
        <v>928</v>
      </c>
      <c r="J13" s="88" t="s">
        <v>929</v>
      </c>
    </row>
    <row r="14">
      <c r="A14" s="88"/>
      <c r="B14" s="88"/>
      <c r="C14" s="88"/>
      <c r="D14" s="88"/>
      <c r="E14" s="88"/>
      <c r="F14" s="88"/>
      <c r="G14" s="88"/>
      <c r="H14" s="88"/>
      <c r="I14" s="88"/>
      <c r="J14" s="88"/>
    </row>
    <row r="17">
      <c r="A17" s="27" t="s">
        <v>930</v>
      </c>
    </row>
    <row r="18">
      <c r="A18" s="28" t="s">
        <v>931</v>
      </c>
      <c r="B18" s="28" t="s">
        <v>932</v>
      </c>
      <c r="C18" s="28" t="s">
        <v>71</v>
      </c>
      <c r="D18" s="28" t="s">
        <v>933</v>
      </c>
      <c r="E18" s="28"/>
      <c r="F18" s="28"/>
      <c r="G18" s="28"/>
      <c r="H18" s="28"/>
    </row>
    <row r="19">
      <c r="A19" s="89" t="s">
        <v>934</v>
      </c>
      <c r="B19" s="89" t="s">
        <v>935</v>
      </c>
      <c r="C19" s="89" t="s">
        <v>936</v>
      </c>
      <c r="D19" s="89"/>
      <c r="E19" s="89"/>
      <c r="F19" s="89"/>
      <c r="G19" s="89"/>
      <c r="H19" s="89"/>
    </row>
    <row r="20">
      <c r="A20" s="89" t="s">
        <v>937</v>
      </c>
      <c r="B20" s="89" t="s">
        <v>938</v>
      </c>
      <c r="C20" s="89" t="s">
        <v>936</v>
      </c>
      <c r="D20" s="89"/>
      <c r="E20" s="89"/>
      <c r="F20" s="89"/>
      <c r="G20" s="89"/>
      <c r="H20" s="89"/>
    </row>
    <row r="21">
      <c r="A21" s="89" t="s">
        <v>939</v>
      </c>
      <c r="B21" s="89" t="s">
        <v>940</v>
      </c>
      <c r="C21" s="89" t="s">
        <v>936</v>
      </c>
      <c r="D21" s="89"/>
      <c r="E21" s="89"/>
      <c r="F21" s="89"/>
      <c r="G21" s="89"/>
      <c r="H21" s="89"/>
    </row>
    <row r="22">
      <c r="A22" s="89" t="s">
        <v>941</v>
      </c>
      <c r="B22" s="89" t="s">
        <v>942</v>
      </c>
      <c r="C22" s="89" t="s">
        <v>936</v>
      </c>
      <c r="D22" s="89"/>
      <c r="E22" s="89"/>
      <c r="F22" s="89"/>
      <c r="G22" s="89"/>
      <c r="H22" s="89"/>
    </row>
    <row r="23">
      <c r="A23" s="89" t="s">
        <v>943</v>
      </c>
      <c r="B23" s="89" t="s">
        <v>944</v>
      </c>
      <c r="C23" s="89" t="s">
        <v>936</v>
      </c>
      <c r="D23" s="89"/>
      <c r="E23" s="89"/>
      <c r="F23" s="89"/>
      <c r="G23" s="89"/>
      <c r="H23" s="89"/>
    </row>
    <row r="24">
      <c r="A24" s="89" t="s">
        <v>945</v>
      </c>
      <c r="B24" s="89" t="s">
        <v>946</v>
      </c>
      <c r="C24" s="89" t="s">
        <v>936</v>
      </c>
      <c r="D24" s="89"/>
      <c r="E24" s="89"/>
      <c r="F24" s="89"/>
      <c r="G24" s="89"/>
      <c r="H24" s="89"/>
    </row>
    <row r="27">
      <c r="A27" s="27" t="s">
        <v>947</v>
      </c>
    </row>
    <row r="28">
      <c r="A28" s="89" t="str">
        <f>IFERROR(__xludf.DUMMYFUNCTION("IFERROR(FILTER(HSTACK('WORK DESK — UPDATE'!C6:C140,'WORK DESK — UPDATE'!D6:D140,'WORK DESK — UPDATE'!I6:I140,'WORK DESK — UPDATE'!J6:J140,'WORK DESK — UPDATE'!M6:M140),'WORK DESK — UPDATE'!B6:B140=""Edible Operations"",'WORK DESK — UPDATE'!J6:J140&lt;&gt;""Drop"&amp;"ped""),""No current Edible moves"")"),"Execute labor schedule correction and verify effect")</f>
        <v>Execute labor schedule correction and verify effect</v>
      </c>
      <c r="B28" s="89" t="str">
        <f>IFERROR(__xludf.DUMMYFUNCTION("""COMPUTED_VALUE"""),"Emmanuel")</f>
        <v>Emmanuel</v>
      </c>
      <c r="C28" s="90">
        <f>IFERROR(__xludf.DUMMYFUNCTION("""COMPUTED_VALUE"""),46267.0)</f>
        <v>46267</v>
      </c>
      <c r="D28" s="89" t="str">
        <f>IFERROR(__xludf.DUMMYFUNCTION("""COMPUTED_VALUE"""),"In Progress")</f>
        <v>In Progress</v>
      </c>
      <c r="E28" s="89"/>
      <c r="F28" s="89"/>
      <c r="G28" s="89"/>
      <c r="H28" s="89"/>
      <c r="I28" s="89"/>
      <c r="J28" s="89"/>
    </row>
    <row r="29">
      <c r="A29" s="89"/>
      <c r="B29" s="89"/>
      <c r="C29" s="90"/>
      <c r="D29" s="89"/>
      <c r="E29" s="89"/>
      <c r="F29" s="89"/>
      <c r="G29" s="89"/>
      <c r="H29" s="89"/>
      <c r="I29" s="89"/>
      <c r="J29" s="89"/>
    </row>
    <row r="30">
      <c r="A30" s="89"/>
      <c r="B30" s="89"/>
      <c r="C30" s="90"/>
      <c r="D30" s="89"/>
      <c r="E30" s="89"/>
      <c r="F30" s="89"/>
      <c r="G30" s="89"/>
      <c r="H30" s="89"/>
      <c r="I30" s="89"/>
      <c r="J30" s="89"/>
    </row>
    <row r="31">
      <c r="A31" s="89"/>
      <c r="B31" s="89"/>
      <c r="C31" s="90"/>
      <c r="D31" s="89"/>
      <c r="E31" s="89"/>
      <c r="F31" s="89"/>
      <c r="G31" s="89"/>
      <c r="H31" s="89"/>
      <c r="I31" s="89"/>
      <c r="J31" s="89"/>
    </row>
    <row r="32">
      <c r="A32" s="89"/>
      <c r="B32" s="89"/>
      <c r="C32" s="90"/>
      <c r="D32" s="89"/>
      <c r="E32" s="89"/>
      <c r="F32" s="89"/>
      <c r="G32" s="89"/>
      <c r="H32" s="89"/>
      <c r="I32" s="89"/>
      <c r="J32" s="89"/>
    </row>
    <row r="33">
      <c r="A33" s="89"/>
      <c r="B33" s="89"/>
      <c r="C33" s="90"/>
      <c r="D33" s="89"/>
      <c r="E33" s="89"/>
      <c r="F33" s="89"/>
      <c r="G33" s="89"/>
      <c r="H33" s="89"/>
      <c r="I33" s="89"/>
      <c r="J33" s="89"/>
    </row>
    <row r="34">
      <c r="A34" s="89"/>
      <c r="B34" s="89"/>
      <c r="C34" s="90"/>
      <c r="D34" s="89"/>
      <c r="E34" s="89"/>
      <c r="F34" s="89"/>
      <c r="G34" s="89"/>
      <c r="H34" s="89"/>
      <c r="I34" s="89"/>
      <c r="J34" s="89"/>
    </row>
    <row r="35">
      <c r="A35" s="89"/>
      <c r="B35" s="89"/>
      <c r="C35" s="90"/>
      <c r="D35" s="89"/>
      <c r="E35" s="89"/>
      <c r="F35" s="89"/>
      <c r="G35" s="89"/>
      <c r="H35" s="89"/>
      <c r="I35" s="89"/>
      <c r="J35" s="89"/>
    </row>
    <row r="36">
      <c r="A36" s="89"/>
      <c r="B36" s="89"/>
      <c r="C36" s="90"/>
      <c r="D36" s="89"/>
      <c r="E36" s="89"/>
      <c r="F36" s="89"/>
      <c r="G36" s="89"/>
      <c r="H36" s="89"/>
      <c r="I36" s="89"/>
      <c r="J36" s="89"/>
    </row>
    <row r="39">
      <c r="A39" s="91" t="str">
        <f>HYPERLINK("https://docs.google.com/spreadsheets/d/1_qBjYd0F4BYYTxLMJjEZbQynBdHH5JGe83-U7nheJOE/edit?usp=drivesdk","OPEN DETAILED EDIBLE SYSTEM\nSupervisor Daily • Weekly Control • Week Close • KPIs • Customers • Standards • Month Close")</f>
        <v>OPEN DETAILED EDIBLE SYSTEM\nSupervisor Daily • Weekly Control • Week Close • KPIs • Customers • Standards • Month Close</v>
      </c>
      <c r="B39" s="32"/>
      <c r="C39" s="32"/>
      <c r="D39" s="32"/>
      <c r="E39" s="32"/>
      <c r="F39" s="32"/>
      <c r="G39" s="33"/>
    </row>
    <row r="40">
      <c r="A40" s="36"/>
      <c r="G40" s="37"/>
    </row>
    <row r="41">
      <c r="A41" s="38"/>
      <c r="B41" s="39"/>
      <c r="C41" s="39"/>
      <c r="D41" s="39"/>
      <c r="E41" s="39"/>
      <c r="F41" s="39"/>
      <c r="G41" s="40"/>
    </row>
  </sheetData>
  <mergeCells count="10">
    <mergeCell ref="A17:N17"/>
    <mergeCell ref="A27:N27"/>
    <mergeCell ref="A39:G41"/>
    <mergeCell ref="A1:N2"/>
    <mergeCell ref="A3:N3"/>
    <mergeCell ref="A5:C7"/>
    <mergeCell ref="D5:F7"/>
    <mergeCell ref="G5:I7"/>
    <mergeCell ref="J5:N7"/>
    <mergeCell ref="A10:N10"/>
  </mergeCells>
  <dataValidations>
    <dataValidation type="list" allowBlank="1" showErrorMessage="1" sqref="C19:C24">
      <formula1>"Review,Normal,Exception,Closed"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4" width="15.86"/>
  </cols>
  <sheetData>
    <row r="1">
      <c r="A1" s="44" t="s">
        <v>952</v>
      </c>
    </row>
    <row r="3">
      <c r="A3" s="83"/>
    </row>
    <row r="5">
      <c r="A5" s="84" t="str">
        <f>IFERROR(__xludf.DUMMYFUNCTION("""PROSPECTS\n""&amp;IFERROR(INDEX(FILTER('04_KPI_RESULTS'!E:E,'04_KPI_RESULTS'!C:C=""Prospects Identified""),1),""NOT REPORTED"")"),"PROSPECTS\n")</f>
        <v>PROSPECTS\n</v>
      </c>
      <c r="B5" s="85"/>
      <c r="C5" s="11"/>
      <c r="D5" s="84" t="str">
        <f>IFERROR(__xludf.DUMMYFUNCTION("""CONTACTS\n""&amp;IFERROR(INDEX(FILTER('04_KPI_RESULTS'!E:E,'04_KPI_RESULTS'!C:C=""Contacts Made""),1),""NOT REPORTED"")"),"CONTACTS\n")</f>
        <v>CONTACTS\n</v>
      </c>
      <c r="E5" s="47"/>
      <c r="F5" s="12"/>
      <c r="G5" s="84" t="str">
        <f>IFERROR(__xludf.DUMMYFUNCTION("""TASTINGS / ACCOUNTS\n""&amp;IFERROR(INDEX(FILTER('04_KPI_RESULTS'!E:E,'04_KPI_RESULTS'!C:C=""Tastings""),1),0)&amp;"" / ""&amp;IFERROR(INDEX(FILTER('04_KPI_RESULTS'!E:E,'04_KPI_RESULTS'!C:C=""Standing Accounts""),1),0)"),"TASTINGS / ACCOUNTS\n / ")</f>
        <v>TASTINGS / ACCOUNTS\n / </v>
      </c>
      <c r="H5" s="47"/>
      <c r="I5" s="12"/>
      <c r="J5" s="86" t="s">
        <v>958</v>
      </c>
      <c r="K5" s="47"/>
      <c r="L5" s="47"/>
      <c r="M5" s="47"/>
      <c r="N5" s="12"/>
    </row>
    <row r="6">
      <c r="A6" s="16"/>
      <c r="C6" s="17"/>
      <c r="D6" s="16"/>
      <c r="F6" s="17"/>
      <c r="G6" s="16"/>
      <c r="I6" s="17"/>
      <c r="J6" s="16"/>
      <c r="N6" s="17"/>
    </row>
    <row r="7">
      <c r="A7" s="19"/>
      <c r="B7" s="53"/>
      <c r="C7" s="20"/>
      <c r="D7" s="19"/>
      <c r="E7" s="53"/>
      <c r="F7" s="20"/>
      <c r="G7" s="19"/>
      <c r="H7" s="53"/>
      <c r="I7" s="20"/>
      <c r="J7" s="19"/>
      <c r="K7" s="53"/>
      <c r="L7" s="53"/>
      <c r="M7" s="53"/>
      <c r="N7" s="20"/>
    </row>
    <row r="10">
      <c r="A10" s="27" t="s">
        <v>959</v>
      </c>
    </row>
    <row r="11">
      <c r="A11" s="89" t="str">
        <f>IFERROR(__xludf.DUMMYFUNCTION("IFERROR(FILTER(HSTACK('WORK DESK — UPDATE'!C6:C140,'WORK DESK — UPDATE'!D6:D140,'WORK DESK — UPDATE'!I6:I140,'WORK DESK — UPDATE'!J6:J140,'WORK DESK — UPDATE'!K6:K140),'WORK DESK — UPDATE'!B6:B140=""Gardenia's Fire"",'WORK DESK — UPDATE'!J6:J140&lt;&gt;""Droppe"&amp;"d""),""No current Gardenia's moves"")"),"Confirm sellable offer is ready from Emmanuel's real-life process; capture only price/cost/margin or constraints needed for selling/management")</f>
        <v>Confirm sellable offer is ready from Emmanuel's real-life process; capture only price/cost/margin or constraints needed for selling/management</v>
      </c>
      <c r="B11" s="89" t="str">
        <f>IFERROR(__xludf.DUMMYFUNCTION("""COMPUTED_VALUE"""),"Emmanuel")</f>
        <v>Emmanuel</v>
      </c>
      <c r="C11" s="90">
        <f>IFERROR(__xludf.DUMMYFUNCTION("""COMPUTED_VALUE"""),46265.0)</f>
        <v>46265</v>
      </c>
      <c r="D11" s="89" t="str">
        <f>IFERROR(__xludf.DUMMYFUNCTION("""COMPUTED_VALUE"""),"In Progress")</f>
        <v>In Progress</v>
      </c>
      <c r="E11" s="89"/>
      <c r="F11" s="89"/>
      <c r="G11" s="89"/>
      <c r="H11" s="89"/>
      <c r="I11" s="89"/>
      <c r="J11" s="89"/>
    </row>
    <row r="12">
      <c r="A12" s="89" t="str">
        <f>IFERROR(__xludf.DUMMYFUNCTION("""COMPUTED_VALUE"""),"Build/confirm target account list")</f>
        <v>Build/confirm target account list</v>
      </c>
      <c r="B12" s="89" t="str">
        <f>IFERROR(__xludf.DUMMYFUNCTION("""COMPUTED_VALUE"""),"Emmanuel")</f>
        <v>Emmanuel</v>
      </c>
      <c r="C12" s="90">
        <f>IFERROR(__xludf.DUMMYFUNCTION("""COMPUTED_VALUE"""),46266.0)</f>
        <v>46266</v>
      </c>
      <c r="D12" s="89" t="str">
        <f>IFERROR(__xludf.DUMMYFUNCTION("""COMPUTED_VALUE"""),"Open")</f>
        <v>Open</v>
      </c>
      <c r="E12" s="89"/>
      <c r="F12" s="89"/>
      <c r="G12" s="89"/>
      <c r="H12" s="89"/>
      <c r="I12" s="89"/>
      <c r="J12" s="89"/>
    </row>
    <row r="13">
      <c r="A13" s="89" t="str">
        <f>IFERROR(__xludf.DUMMYFUNCTION("""COMPUTED_VALUE"""),"Begin outreach and schedule tastings")</f>
        <v>Begin outreach and schedule tastings</v>
      </c>
      <c r="B13" s="89" t="str">
        <f>IFERROR(__xludf.DUMMYFUNCTION("""COMPUTED_VALUE"""),"Emmanuel")</f>
        <v>Emmanuel</v>
      </c>
      <c r="C13" s="90">
        <f>IFERROR(__xludf.DUMMYFUNCTION("""COMPUTED_VALUE"""),46269.0)</f>
        <v>46269</v>
      </c>
      <c r="D13" s="89" t="str">
        <f>IFERROR(__xludf.DUMMYFUNCTION("""COMPUTED_VALUE"""),"Open")</f>
        <v>Open</v>
      </c>
      <c r="E13" s="89"/>
      <c r="F13" s="89"/>
      <c r="G13" s="89"/>
      <c r="H13" s="89"/>
      <c r="I13" s="89"/>
      <c r="J13" s="89"/>
    </row>
    <row r="14">
      <c r="A14" s="89"/>
      <c r="B14" s="89"/>
      <c r="C14" s="90"/>
      <c r="D14" s="89"/>
      <c r="E14" s="89"/>
      <c r="F14" s="89"/>
      <c r="G14" s="89"/>
      <c r="H14" s="89"/>
      <c r="I14" s="89"/>
      <c r="J14" s="89"/>
    </row>
    <row r="15">
      <c r="A15" s="89"/>
      <c r="B15" s="89"/>
      <c r="C15" s="90"/>
      <c r="D15" s="89"/>
      <c r="E15" s="89"/>
      <c r="F15" s="89"/>
      <c r="G15" s="89"/>
      <c r="H15" s="89"/>
      <c r="I15" s="89"/>
      <c r="J15" s="89"/>
    </row>
    <row r="16">
      <c r="A16" s="89"/>
      <c r="B16" s="89"/>
      <c r="C16" s="90"/>
      <c r="D16" s="89"/>
      <c r="E16" s="89"/>
      <c r="F16" s="89"/>
      <c r="G16" s="89"/>
      <c r="H16" s="89"/>
      <c r="I16" s="89"/>
      <c r="J16" s="89"/>
    </row>
    <row r="17">
      <c r="A17" s="89"/>
      <c r="B17" s="89"/>
      <c r="C17" s="90"/>
      <c r="D17" s="89"/>
      <c r="E17" s="89"/>
      <c r="F17" s="89"/>
      <c r="G17" s="89"/>
      <c r="H17" s="89"/>
      <c r="I17" s="89"/>
      <c r="J17" s="89"/>
    </row>
    <row r="18">
      <c r="A18" s="89"/>
      <c r="B18" s="89"/>
      <c r="C18" s="90"/>
      <c r="D18" s="89"/>
      <c r="E18" s="89"/>
      <c r="F18" s="89"/>
      <c r="G18" s="89"/>
      <c r="H18" s="89"/>
      <c r="I18" s="89"/>
      <c r="J18" s="89"/>
    </row>
    <row r="21">
      <c r="A21" s="99" t="s">
        <v>1013</v>
      </c>
    </row>
    <row r="22">
      <c r="A22" s="100" t="s">
        <v>1014</v>
      </c>
      <c r="B22" s="100" t="s">
        <v>1015</v>
      </c>
      <c r="C22" s="100" t="s">
        <v>1016</v>
      </c>
      <c r="D22" s="100" t="s">
        <v>1015</v>
      </c>
      <c r="E22" s="100" t="s">
        <v>1017</v>
      </c>
      <c r="F22" s="100" t="s">
        <v>1015</v>
      </c>
      <c r="G22" s="100" t="s">
        <v>1018</v>
      </c>
      <c r="H22" s="100" t="s">
        <v>1015</v>
      </c>
      <c r="I22" s="100" t="s">
        <v>1019</v>
      </c>
      <c r="J22" s="100" t="s">
        <v>1015</v>
      </c>
      <c r="K22" s="100" t="s">
        <v>1020</v>
      </c>
      <c r="L22" s="100" t="s">
        <v>1015</v>
      </c>
      <c r="M22" s="100" t="s">
        <v>1021</v>
      </c>
      <c r="N22" s="100"/>
    </row>
    <row r="25">
      <c r="A25" s="91" t="str">
        <f>HYPERLINK("https://docs.google.com/spreadsheets/d/1_zaAT-zqEQhwTW2ZNRLSnH8Peed7zZTzi3kd0RUHQRQ/edit#gid=1651640479","OPEN CALLS &amp; FOLLOW-UP\nWork prospects and next touches here")</f>
        <v>OPEN CALLS &amp; FOLLOW-UP\nWork prospects and next touches here</v>
      </c>
      <c r="B25" s="32"/>
      <c r="C25" s="32"/>
      <c r="D25" s="32"/>
      <c r="E25" s="33"/>
      <c r="F25" s="91" t="str">
        <f>HYPERLINK("https://drive.google.com/drive/folders/1-CWhZsNUR2dnbbCLLOInkSOOHtFU_utm","OPEN GARDENIA'S PROJECT HOME\nProducts • pricing • target lists • source files")</f>
        <v>OPEN GARDENIA'S PROJECT HOME\nProducts • pricing • target lists • source files</v>
      </c>
      <c r="G25" s="32"/>
      <c r="H25" s="32"/>
      <c r="I25" s="32"/>
      <c r="J25" s="33"/>
    </row>
    <row r="26">
      <c r="A26" s="36"/>
      <c r="E26" s="37"/>
      <c r="F26" s="36"/>
      <c r="J26" s="37"/>
    </row>
    <row r="27">
      <c r="A27" s="38"/>
      <c r="B27" s="39"/>
      <c r="C27" s="39"/>
      <c r="D27" s="39"/>
      <c r="E27" s="40"/>
      <c r="F27" s="38"/>
      <c r="G27" s="39"/>
      <c r="H27" s="39"/>
      <c r="I27" s="39"/>
      <c r="J27" s="40"/>
    </row>
  </sheetData>
  <mergeCells count="10">
    <mergeCell ref="A21:N21"/>
    <mergeCell ref="A25:E27"/>
    <mergeCell ref="F25:J27"/>
    <mergeCell ref="A1:N2"/>
    <mergeCell ref="A3:N3"/>
    <mergeCell ref="A5:C7"/>
    <mergeCell ref="D5:F7"/>
    <mergeCell ref="G5:I7"/>
    <mergeCell ref="J5:N7"/>
    <mergeCell ref="A10:N10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2.29"/>
    <col customWidth="1" min="2" max="3" width="15.14"/>
    <col customWidth="1" min="4" max="4" width="25.14"/>
    <col customWidth="1" min="5" max="9" width="15.14"/>
    <col customWidth="1" min="10" max="11" width="25.86"/>
    <col customWidth="1" min="12" max="14" width="15.14"/>
  </cols>
  <sheetData>
    <row r="1">
      <c r="A1" s="44" t="s">
        <v>968</v>
      </c>
    </row>
    <row r="3">
      <c r="A3" s="83"/>
    </row>
    <row r="4">
      <c r="A4" s="95" t="s">
        <v>969</v>
      </c>
    </row>
    <row r="5">
      <c r="A5" s="96" t="s">
        <v>970</v>
      </c>
      <c r="B5" s="96" t="s">
        <v>67</v>
      </c>
      <c r="C5" s="96" t="s">
        <v>971</v>
      </c>
      <c r="D5" s="96" t="s">
        <v>972</v>
      </c>
      <c r="E5" s="96" t="s">
        <v>973</v>
      </c>
      <c r="F5" s="96" t="s">
        <v>974</v>
      </c>
      <c r="G5" s="96" t="s">
        <v>975</v>
      </c>
      <c r="H5" s="96" t="s">
        <v>69</v>
      </c>
      <c r="I5" s="96" t="s">
        <v>71</v>
      </c>
      <c r="J5" s="96" t="s">
        <v>976</v>
      </c>
      <c r="K5" s="96" t="s">
        <v>977</v>
      </c>
      <c r="L5" s="96" t="s">
        <v>978</v>
      </c>
      <c r="M5" s="96" t="s">
        <v>979</v>
      </c>
      <c r="N5" s="96" t="s">
        <v>980</v>
      </c>
    </row>
    <row r="6">
      <c r="A6" s="59" t="s">
        <v>981</v>
      </c>
      <c r="B6" s="59" t="s">
        <v>146</v>
      </c>
      <c r="C6" s="59" t="s">
        <v>902</v>
      </c>
      <c r="D6" s="59" t="s">
        <v>982</v>
      </c>
      <c r="E6" s="59" t="s">
        <v>483</v>
      </c>
      <c r="F6" s="59" t="s">
        <v>902</v>
      </c>
      <c r="G6" s="59" t="s">
        <v>902</v>
      </c>
      <c r="H6" s="59" t="s">
        <v>99</v>
      </c>
      <c r="I6" s="59" t="s">
        <v>677</v>
      </c>
      <c r="J6" s="59" t="s">
        <v>902</v>
      </c>
      <c r="K6" s="59" t="s">
        <v>983</v>
      </c>
      <c r="L6" s="59" t="str">
        <f>IF(F6="","",TODAY()-F6)</f>
        <v/>
      </c>
      <c r="M6" s="59" t="s">
        <v>902</v>
      </c>
      <c r="N6" s="59" t="s">
        <v>902</v>
      </c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</row>
    <row r="8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</row>
    <row r="9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</row>
    <row r="56">
      <c r="E56" s="97"/>
      <c r="H56" s="97"/>
      <c r="I56" s="97"/>
    </row>
    <row r="57">
      <c r="E57" s="97"/>
      <c r="H57" s="97"/>
      <c r="I57" s="97"/>
    </row>
    <row r="58">
      <c r="E58" s="97"/>
      <c r="H58" s="97"/>
      <c r="I58" s="97"/>
    </row>
    <row r="59">
      <c r="E59" s="97"/>
      <c r="H59" s="97"/>
      <c r="I59" s="97"/>
    </row>
    <row r="60">
      <c r="E60" s="97"/>
      <c r="H60" s="97"/>
      <c r="I60" s="97"/>
    </row>
    <row r="61">
      <c r="E61" s="97"/>
      <c r="H61" s="97"/>
      <c r="I61" s="97"/>
    </row>
    <row r="62">
      <c r="E62" s="97"/>
      <c r="H62" s="97"/>
      <c r="I62" s="97"/>
    </row>
    <row r="63">
      <c r="E63" s="97"/>
      <c r="H63" s="97"/>
      <c r="I63" s="97"/>
    </row>
    <row r="64">
      <c r="E64" s="97"/>
      <c r="H64" s="97"/>
      <c r="I64" s="97"/>
    </row>
    <row r="65">
      <c r="E65" s="97"/>
      <c r="H65" s="97"/>
      <c r="I65" s="97"/>
    </row>
    <row r="66">
      <c r="E66" s="97"/>
      <c r="H66" s="97"/>
      <c r="I66" s="97"/>
    </row>
    <row r="67">
      <c r="E67" s="97"/>
      <c r="H67" s="97"/>
      <c r="I67" s="97"/>
    </row>
    <row r="68">
      <c r="E68" s="97"/>
      <c r="H68" s="97"/>
      <c r="I68" s="97"/>
    </row>
    <row r="69">
      <c r="E69" s="97"/>
      <c r="H69" s="97"/>
      <c r="I69" s="97"/>
    </row>
    <row r="70">
      <c r="E70" s="97"/>
      <c r="H70" s="97"/>
      <c r="I70" s="97"/>
    </row>
    <row r="71">
      <c r="E71" s="97"/>
      <c r="H71" s="97"/>
      <c r="I71" s="97"/>
    </row>
    <row r="72">
      <c r="E72" s="97"/>
      <c r="H72" s="97"/>
      <c r="I72" s="97"/>
    </row>
    <row r="73">
      <c r="E73" s="97"/>
      <c r="H73" s="97"/>
      <c r="I73" s="97"/>
    </row>
    <row r="74">
      <c r="E74" s="97"/>
      <c r="H74" s="97"/>
      <c r="I74" s="97"/>
    </row>
    <row r="75">
      <c r="E75" s="97"/>
      <c r="H75" s="97"/>
      <c r="I75" s="97"/>
    </row>
    <row r="76">
      <c r="E76" s="97"/>
      <c r="H76" s="97"/>
      <c r="I76" s="97"/>
    </row>
    <row r="77">
      <c r="E77" s="97"/>
      <c r="H77" s="97"/>
      <c r="I77" s="97"/>
    </row>
    <row r="78">
      <c r="E78" s="97"/>
      <c r="H78" s="97"/>
      <c r="I78" s="97"/>
    </row>
    <row r="79">
      <c r="E79" s="97"/>
      <c r="H79" s="97"/>
      <c r="I79" s="97"/>
    </row>
    <row r="80">
      <c r="E80" s="97"/>
      <c r="H80" s="97"/>
      <c r="I80" s="97"/>
    </row>
    <row r="81">
      <c r="E81" s="97"/>
      <c r="H81" s="97"/>
      <c r="I81" s="97"/>
    </row>
    <row r="82">
      <c r="E82" s="97"/>
      <c r="H82" s="97"/>
      <c r="I82" s="97"/>
    </row>
    <row r="83">
      <c r="E83" s="97"/>
      <c r="H83" s="97"/>
      <c r="I83" s="97"/>
    </row>
    <row r="84">
      <c r="E84" s="97"/>
      <c r="H84" s="97"/>
      <c r="I84" s="97"/>
    </row>
    <row r="85">
      <c r="E85" s="97"/>
      <c r="H85" s="97"/>
      <c r="I85" s="97"/>
    </row>
    <row r="86">
      <c r="E86" s="97"/>
      <c r="H86" s="97"/>
      <c r="I86" s="97"/>
    </row>
    <row r="87">
      <c r="E87" s="97"/>
      <c r="H87" s="97"/>
      <c r="I87" s="97"/>
    </row>
    <row r="88">
      <c r="E88" s="97"/>
      <c r="H88" s="97"/>
      <c r="I88" s="97"/>
    </row>
    <row r="89">
      <c r="E89" s="97"/>
      <c r="H89" s="97"/>
      <c r="I89" s="97"/>
    </row>
    <row r="90">
      <c r="E90" s="97"/>
      <c r="H90" s="97"/>
      <c r="I90" s="97"/>
    </row>
    <row r="91">
      <c r="E91" s="97"/>
      <c r="H91" s="97"/>
      <c r="I91" s="97"/>
    </row>
    <row r="92">
      <c r="E92" s="97"/>
      <c r="H92" s="97"/>
      <c r="I92" s="97"/>
    </row>
    <row r="93">
      <c r="E93" s="97"/>
      <c r="H93" s="97"/>
      <c r="I93" s="97"/>
    </row>
    <row r="94">
      <c r="E94" s="97"/>
      <c r="H94" s="97"/>
      <c r="I94" s="97"/>
    </row>
    <row r="95">
      <c r="E95" s="97"/>
      <c r="H95" s="97"/>
      <c r="I95" s="97"/>
    </row>
    <row r="96">
      <c r="E96" s="97"/>
      <c r="H96" s="97"/>
      <c r="I96" s="97"/>
    </row>
    <row r="97">
      <c r="E97" s="97"/>
      <c r="H97" s="97"/>
      <c r="I97" s="97"/>
    </row>
    <row r="98">
      <c r="E98" s="97"/>
      <c r="H98" s="97"/>
      <c r="I98" s="97"/>
    </row>
    <row r="99">
      <c r="E99" s="97"/>
      <c r="H99" s="97"/>
      <c r="I99" s="97"/>
    </row>
    <row r="100">
      <c r="E100" s="97"/>
      <c r="H100" s="97"/>
      <c r="I100" s="97"/>
    </row>
    <row r="101">
      <c r="E101" s="97"/>
      <c r="H101" s="97"/>
      <c r="I101" s="97"/>
    </row>
    <row r="102">
      <c r="E102" s="97"/>
      <c r="H102" s="97"/>
      <c r="I102" s="97"/>
    </row>
    <row r="103">
      <c r="E103" s="97"/>
      <c r="H103" s="97"/>
      <c r="I103" s="97"/>
    </row>
    <row r="104">
      <c r="E104" s="97"/>
      <c r="H104" s="97"/>
      <c r="I104" s="97"/>
    </row>
    <row r="105">
      <c r="E105" s="97"/>
      <c r="H105" s="97"/>
      <c r="I105" s="97"/>
    </row>
    <row r="106">
      <c r="E106" s="97"/>
      <c r="H106" s="97"/>
      <c r="I106" s="97"/>
    </row>
    <row r="107">
      <c r="E107" s="97"/>
      <c r="H107" s="97"/>
      <c r="I107" s="97"/>
    </row>
    <row r="108">
      <c r="E108" s="97"/>
      <c r="H108" s="97"/>
      <c r="I108" s="97"/>
    </row>
    <row r="109">
      <c r="E109" s="97"/>
      <c r="H109" s="97"/>
      <c r="I109" s="97"/>
    </row>
    <row r="110">
      <c r="E110" s="97"/>
      <c r="H110" s="97"/>
      <c r="I110" s="97"/>
    </row>
    <row r="111">
      <c r="E111" s="97"/>
      <c r="H111" s="97"/>
      <c r="I111" s="97"/>
    </row>
    <row r="112">
      <c r="E112" s="97"/>
      <c r="H112" s="97"/>
      <c r="I112" s="97"/>
    </row>
    <row r="113">
      <c r="E113" s="97"/>
      <c r="H113" s="97"/>
      <c r="I113" s="97"/>
    </row>
    <row r="114">
      <c r="E114" s="97"/>
      <c r="H114" s="97"/>
      <c r="I114" s="97"/>
    </row>
    <row r="115">
      <c r="E115" s="97"/>
      <c r="H115" s="97"/>
      <c r="I115" s="97"/>
    </row>
    <row r="116">
      <c r="E116" s="97"/>
      <c r="H116" s="97"/>
      <c r="I116" s="97"/>
    </row>
    <row r="117">
      <c r="E117" s="97"/>
      <c r="H117" s="97"/>
      <c r="I117" s="97"/>
    </row>
    <row r="118">
      <c r="E118" s="97"/>
      <c r="H118" s="97"/>
      <c r="I118" s="97"/>
    </row>
    <row r="119">
      <c r="E119" s="97"/>
      <c r="H119" s="97"/>
      <c r="I119" s="97"/>
    </row>
    <row r="120">
      <c r="E120" s="97"/>
      <c r="H120" s="97"/>
      <c r="I120" s="97"/>
    </row>
    <row r="121">
      <c r="E121" s="97"/>
      <c r="H121" s="97"/>
      <c r="I121" s="97"/>
    </row>
    <row r="122">
      <c r="E122" s="97"/>
      <c r="H122" s="97"/>
      <c r="I122" s="97"/>
    </row>
    <row r="123">
      <c r="E123" s="97"/>
      <c r="H123" s="97"/>
      <c r="I123" s="97"/>
    </row>
    <row r="124">
      <c r="E124" s="97"/>
      <c r="H124" s="97"/>
      <c r="I124" s="97"/>
    </row>
    <row r="125">
      <c r="E125" s="97"/>
      <c r="H125" s="97"/>
      <c r="I125" s="97"/>
    </row>
    <row r="126">
      <c r="E126" s="97"/>
      <c r="H126" s="97"/>
      <c r="I126" s="97"/>
    </row>
    <row r="127">
      <c r="E127" s="97"/>
      <c r="H127" s="97"/>
      <c r="I127" s="97"/>
    </row>
    <row r="128">
      <c r="E128" s="97"/>
      <c r="H128" s="97"/>
      <c r="I128" s="97"/>
    </row>
    <row r="129">
      <c r="E129" s="97"/>
      <c r="H129" s="97"/>
      <c r="I129" s="97"/>
    </row>
    <row r="130">
      <c r="E130" s="97"/>
      <c r="H130" s="97"/>
      <c r="I130" s="97"/>
    </row>
    <row r="131">
      <c r="E131" s="97"/>
      <c r="H131" s="97"/>
      <c r="I131" s="97"/>
    </row>
    <row r="132">
      <c r="E132" s="97"/>
      <c r="H132" s="97"/>
      <c r="I132" s="97"/>
    </row>
    <row r="133">
      <c r="E133" s="97"/>
      <c r="H133" s="97"/>
      <c r="I133" s="97"/>
    </row>
    <row r="134">
      <c r="E134" s="97"/>
      <c r="H134" s="97"/>
      <c r="I134" s="97"/>
    </row>
    <row r="135">
      <c r="E135" s="97"/>
      <c r="H135" s="97"/>
      <c r="I135" s="97"/>
    </row>
    <row r="136">
      <c r="E136" s="97"/>
      <c r="H136" s="97"/>
      <c r="I136" s="97"/>
    </row>
    <row r="137">
      <c r="E137" s="97"/>
      <c r="H137" s="97"/>
      <c r="I137" s="97"/>
    </row>
    <row r="138">
      <c r="E138" s="97"/>
      <c r="H138" s="97"/>
      <c r="I138" s="97"/>
    </row>
    <row r="139">
      <c r="E139" s="97"/>
      <c r="H139" s="97"/>
      <c r="I139" s="97"/>
    </row>
    <row r="140">
      <c r="E140" s="97"/>
      <c r="H140" s="97"/>
      <c r="I140" s="97"/>
    </row>
    <row r="141">
      <c r="E141" s="97"/>
      <c r="H141" s="97"/>
      <c r="I141" s="97"/>
    </row>
    <row r="142">
      <c r="E142" s="97"/>
      <c r="H142" s="97"/>
      <c r="I142" s="97"/>
    </row>
    <row r="143">
      <c r="E143" s="97"/>
      <c r="H143" s="97"/>
      <c r="I143" s="97"/>
    </row>
    <row r="144">
      <c r="E144" s="97"/>
      <c r="H144" s="97"/>
      <c r="I144" s="97"/>
    </row>
    <row r="145">
      <c r="E145" s="97"/>
      <c r="H145" s="97"/>
      <c r="I145" s="97"/>
    </row>
    <row r="146">
      <c r="E146" s="97"/>
      <c r="H146" s="97"/>
      <c r="I146" s="97"/>
    </row>
    <row r="147">
      <c r="E147" s="97"/>
      <c r="H147" s="97"/>
      <c r="I147" s="97"/>
    </row>
    <row r="148">
      <c r="E148" s="97"/>
      <c r="H148" s="97"/>
      <c r="I148" s="97"/>
    </row>
    <row r="149">
      <c r="E149" s="97"/>
      <c r="H149" s="97"/>
      <c r="I149" s="97"/>
    </row>
    <row r="150">
      <c r="E150" s="97"/>
      <c r="H150" s="97"/>
      <c r="I150" s="97"/>
    </row>
    <row r="151">
      <c r="E151" s="97"/>
      <c r="H151" s="97"/>
      <c r="I151" s="97"/>
    </row>
    <row r="152">
      <c r="E152" s="97"/>
      <c r="H152" s="97"/>
      <c r="I152" s="97"/>
    </row>
    <row r="153">
      <c r="E153" s="97"/>
      <c r="H153" s="97"/>
      <c r="I153" s="97"/>
    </row>
    <row r="154">
      <c r="E154" s="97"/>
      <c r="H154" s="97"/>
      <c r="I154" s="97"/>
    </row>
    <row r="155">
      <c r="E155" s="97"/>
      <c r="H155" s="97"/>
      <c r="I155" s="97"/>
    </row>
    <row r="156">
      <c r="E156" s="97"/>
      <c r="H156" s="97"/>
      <c r="I156" s="97"/>
    </row>
    <row r="157">
      <c r="E157" s="97"/>
      <c r="H157" s="97"/>
      <c r="I157" s="97"/>
    </row>
    <row r="158">
      <c r="E158" s="97"/>
      <c r="H158" s="97"/>
      <c r="I158" s="97"/>
    </row>
    <row r="159">
      <c r="E159" s="97"/>
      <c r="H159" s="97"/>
      <c r="I159" s="97"/>
    </row>
    <row r="160">
      <c r="E160" s="97"/>
      <c r="H160" s="97"/>
      <c r="I160" s="97"/>
    </row>
    <row r="161">
      <c r="E161" s="97"/>
      <c r="H161" s="97"/>
      <c r="I161" s="97"/>
    </row>
    <row r="162">
      <c r="E162" s="97"/>
      <c r="H162" s="97"/>
      <c r="I162" s="97"/>
    </row>
    <row r="163">
      <c r="E163" s="97"/>
      <c r="H163" s="97"/>
      <c r="I163" s="97"/>
    </row>
    <row r="164">
      <c r="E164" s="97"/>
      <c r="H164" s="97"/>
      <c r="I164" s="97"/>
    </row>
    <row r="165">
      <c r="E165" s="97"/>
      <c r="H165" s="97"/>
      <c r="I165" s="97"/>
    </row>
    <row r="166">
      <c r="E166" s="97"/>
      <c r="H166" s="97"/>
      <c r="I166" s="97"/>
    </row>
    <row r="167">
      <c r="E167" s="97"/>
      <c r="H167" s="97"/>
      <c r="I167" s="97"/>
    </row>
    <row r="168">
      <c r="E168" s="97"/>
      <c r="H168" s="97"/>
      <c r="I168" s="97"/>
    </row>
    <row r="169">
      <c r="E169" s="97"/>
      <c r="H169" s="97"/>
      <c r="I169" s="97"/>
    </row>
    <row r="170">
      <c r="E170" s="97"/>
      <c r="H170" s="97"/>
      <c r="I170" s="97"/>
    </row>
    <row r="171">
      <c r="E171" s="97"/>
      <c r="H171" s="97"/>
      <c r="I171" s="97"/>
    </row>
    <row r="172">
      <c r="E172" s="97"/>
      <c r="H172" s="97"/>
      <c r="I172" s="97"/>
    </row>
    <row r="173">
      <c r="E173" s="97"/>
      <c r="H173" s="97"/>
      <c r="I173" s="97"/>
    </row>
    <row r="174">
      <c r="E174" s="97"/>
      <c r="H174" s="97"/>
      <c r="I174" s="97"/>
    </row>
    <row r="175">
      <c r="E175" s="97"/>
      <c r="H175" s="97"/>
      <c r="I175" s="97"/>
    </row>
    <row r="176">
      <c r="E176" s="97"/>
      <c r="H176" s="97"/>
      <c r="I176" s="97"/>
    </row>
    <row r="177">
      <c r="E177" s="97"/>
      <c r="H177" s="97"/>
      <c r="I177" s="97"/>
    </row>
    <row r="178">
      <c r="E178" s="97"/>
      <c r="H178" s="97"/>
      <c r="I178" s="97"/>
    </row>
    <row r="179">
      <c r="E179" s="97"/>
      <c r="H179" s="97"/>
      <c r="I179" s="97"/>
    </row>
    <row r="180">
      <c r="E180" s="97"/>
      <c r="H180" s="97"/>
      <c r="I180" s="97"/>
    </row>
    <row r="181">
      <c r="E181" s="97"/>
      <c r="H181" s="97"/>
      <c r="I181" s="97"/>
    </row>
    <row r="182">
      <c r="E182" s="97"/>
      <c r="H182" s="97"/>
      <c r="I182" s="97"/>
    </row>
    <row r="183">
      <c r="E183" s="97"/>
      <c r="H183" s="97"/>
      <c r="I183" s="97"/>
    </row>
    <row r="184">
      <c r="E184" s="97"/>
      <c r="H184" s="97"/>
      <c r="I184" s="97"/>
    </row>
    <row r="185">
      <c r="E185" s="97"/>
      <c r="H185" s="97"/>
      <c r="I185" s="97"/>
    </row>
    <row r="186">
      <c r="E186" s="97"/>
      <c r="H186" s="97"/>
      <c r="I186" s="97"/>
    </row>
    <row r="187">
      <c r="E187" s="97"/>
      <c r="H187" s="97"/>
      <c r="I187" s="97"/>
    </row>
    <row r="188">
      <c r="E188" s="97"/>
      <c r="H188" s="97"/>
      <c r="I188" s="97"/>
    </row>
    <row r="189">
      <c r="E189" s="97"/>
      <c r="H189" s="97"/>
      <c r="I189" s="97"/>
    </row>
    <row r="190">
      <c r="E190" s="97"/>
      <c r="H190" s="97"/>
      <c r="I190" s="97"/>
    </row>
    <row r="191">
      <c r="E191" s="97"/>
      <c r="H191" s="97"/>
      <c r="I191" s="97"/>
    </row>
    <row r="192">
      <c r="E192" s="97"/>
      <c r="H192" s="97"/>
      <c r="I192" s="97"/>
    </row>
    <row r="193">
      <c r="E193" s="97"/>
      <c r="H193" s="97"/>
      <c r="I193" s="97"/>
    </row>
    <row r="194">
      <c r="E194" s="97"/>
      <c r="H194" s="97"/>
      <c r="I194" s="97"/>
    </row>
    <row r="195">
      <c r="E195" s="97"/>
      <c r="H195" s="97"/>
      <c r="I195" s="97"/>
    </row>
    <row r="196">
      <c r="E196" s="97"/>
      <c r="H196" s="97"/>
      <c r="I196" s="97"/>
    </row>
    <row r="197">
      <c r="E197" s="97"/>
      <c r="H197" s="97"/>
      <c r="I197" s="97"/>
    </row>
    <row r="198">
      <c r="E198" s="97"/>
      <c r="H198" s="97"/>
      <c r="I198" s="97"/>
    </row>
    <row r="199">
      <c r="E199" s="97"/>
      <c r="H199" s="97"/>
      <c r="I199" s="97"/>
    </row>
    <row r="200">
      <c r="E200" s="97"/>
      <c r="H200" s="97"/>
      <c r="I200" s="97"/>
    </row>
    <row r="201">
      <c r="E201" s="97"/>
      <c r="H201" s="97"/>
      <c r="I201" s="97"/>
    </row>
    <row r="202">
      <c r="E202" s="97"/>
      <c r="H202" s="97"/>
      <c r="I202" s="97"/>
    </row>
    <row r="203">
      <c r="E203" s="97"/>
      <c r="H203" s="97"/>
      <c r="I203" s="97"/>
    </row>
    <row r="204">
      <c r="E204" s="97"/>
      <c r="H204" s="97"/>
      <c r="I204" s="97"/>
    </row>
    <row r="205">
      <c r="E205" s="97"/>
      <c r="H205" s="97"/>
      <c r="I205" s="97"/>
    </row>
    <row r="206">
      <c r="E206" s="97"/>
      <c r="H206" s="97"/>
      <c r="I206" s="97"/>
    </row>
    <row r="207">
      <c r="E207" s="97"/>
      <c r="H207" s="97"/>
      <c r="I207" s="97"/>
    </row>
    <row r="208">
      <c r="E208" s="97"/>
      <c r="H208" s="97"/>
      <c r="I208" s="97"/>
    </row>
    <row r="209">
      <c r="E209" s="97"/>
      <c r="H209" s="97"/>
      <c r="I209" s="97"/>
    </row>
    <row r="210">
      <c r="E210" s="97"/>
      <c r="H210" s="97"/>
      <c r="I210" s="97"/>
    </row>
    <row r="211">
      <c r="E211" s="97"/>
      <c r="H211" s="97"/>
      <c r="I211" s="97"/>
    </row>
    <row r="212">
      <c r="E212" s="97"/>
      <c r="H212" s="97"/>
      <c r="I212" s="97"/>
    </row>
    <row r="213">
      <c r="E213" s="97"/>
      <c r="H213" s="97"/>
      <c r="I213" s="97"/>
    </row>
    <row r="214">
      <c r="E214" s="97"/>
      <c r="H214" s="97"/>
      <c r="I214" s="97"/>
    </row>
    <row r="215">
      <c r="E215" s="97"/>
      <c r="H215" s="97"/>
      <c r="I215" s="97"/>
    </row>
    <row r="216">
      <c r="E216" s="97"/>
      <c r="H216" s="97"/>
      <c r="I216" s="97"/>
    </row>
    <row r="217">
      <c r="E217" s="97"/>
      <c r="H217" s="97"/>
      <c r="I217" s="97"/>
    </row>
    <row r="218">
      <c r="E218" s="97"/>
      <c r="H218" s="97"/>
      <c r="I218" s="97"/>
    </row>
    <row r="219">
      <c r="E219" s="97"/>
      <c r="H219" s="97"/>
      <c r="I219" s="97"/>
    </row>
    <row r="220">
      <c r="E220" s="97"/>
      <c r="H220" s="97"/>
      <c r="I220" s="97"/>
    </row>
    <row r="221">
      <c r="E221" s="97"/>
      <c r="H221" s="97"/>
      <c r="I221" s="97"/>
    </row>
    <row r="222">
      <c r="E222" s="97"/>
      <c r="H222" s="97"/>
      <c r="I222" s="97"/>
    </row>
    <row r="223">
      <c r="E223" s="97"/>
      <c r="H223" s="97"/>
      <c r="I223" s="97"/>
    </row>
    <row r="224">
      <c r="E224" s="97"/>
      <c r="H224" s="97"/>
      <c r="I224" s="97"/>
    </row>
    <row r="225">
      <c r="E225" s="97"/>
      <c r="H225" s="97"/>
      <c r="I225" s="97"/>
    </row>
    <row r="226">
      <c r="E226" s="97"/>
      <c r="H226" s="97"/>
      <c r="I226" s="97"/>
    </row>
    <row r="227">
      <c r="E227" s="97"/>
      <c r="H227" s="97"/>
      <c r="I227" s="97"/>
    </row>
    <row r="228">
      <c r="E228" s="97"/>
      <c r="H228" s="97"/>
      <c r="I228" s="97"/>
    </row>
    <row r="229">
      <c r="E229" s="97"/>
      <c r="H229" s="97"/>
      <c r="I229" s="97"/>
    </row>
    <row r="230">
      <c r="E230" s="97"/>
      <c r="H230" s="97"/>
      <c r="I230" s="97"/>
    </row>
    <row r="231">
      <c r="E231" s="97"/>
      <c r="H231" s="97"/>
      <c r="I231" s="97"/>
    </row>
    <row r="232">
      <c r="E232" s="97"/>
      <c r="H232" s="97"/>
      <c r="I232" s="97"/>
    </row>
    <row r="233">
      <c r="E233" s="97"/>
      <c r="H233" s="97"/>
      <c r="I233" s="97"/>
    </row>
    <row r="234">
      <c r="E234" s="97"/>
      <c r="H234" s="97"/>
      <c r="I234" s="97"/>
    </row>
    <row r="235">
      <c r="E235" s="97"/>
      <c r="H235" s="97"/>
      <c r="I235" s="97"/>
    </row>
    <row r="236">
      <c r="E236" s="97"/>
      <c r="H236" s="97"/>
      <c r="I236" s="97"/>
    </row>
    <row r="237">
      <c r="E237" s="97"/>
      <c r="H237" s="97"/>
      <c r="I237" s="97"/>
    </row>
    <row r="238">
      <c r="E238" s="97"/>
      <c r="H238" s="97"/>
      <c r="I238" s="97"/>
    </row>
    <row r="239">
      <c r="E239" s="97"/>
      <c r="H239" s="97"/>
      <c r="I239" s="97"/>
    </row>
    <row r="240">
      <c r="E240" s="97"/>
      <c r="H240" s="97"/>
      <c r="I240" s="97"/>
    </row>
    <row r="241">
      <c r="E241" s="97"/>
      <c r="H241" s="97"/>
      <c r="I241" s="97"/>
    </row>
    <row r="242">
      <c r="E242" s="97"/>
      <c r="H242" s="97"/>
      <c r="I242" s="97"/>
    </row>
    <row r="243">
      <c r="E243" s="97"/>
      <c r="H243" s="97"/>
      <c r="I243" s="97"/>
    </row>
    <row r="244">
      <c r="E244" s="97"/>
      <c r="H244" s="97"/>
      <c r="I244" s="97"/>
    </row>
    <row r="245">
      <c r="E245" s="97"/>
      <c r="H245" s="97"/>
      <c r="I245" s="97"/>
    </row>
    <row r="246">
      <c r="E246" s="97"/>
      <c r="H246" s="97"/>
      <c r="I246" s="97"/>
    </row>
    <row r="247">
      <c r="E247" s="97"/>
      <c r="H247" s="97"/>
      <c r="I247" s="97"/>
    </row>
    <row r="248">
      <c r="E248" s="97"/>
      <c r="H248" s="97"/>
      <c r="I248" s="97"/>
    </row>
    <row r="249">
      <c r="E249" s="97"/>
      <c r="H249" s="97"/>
      <c r="I249" s="97"/>
    </row>
    <row r="250">
      <c r="E250" s="97"/>
      <c r="H250" s="97"/>
      <c r="I250" s="97"/>
    </row>
    <row r="251">
      <c r="E251" s="97"/>
      <c r="H251" s="97"/>
      <c r="I251" s="97"/>
    </row>
    <row r="252">
      <c r="E252" s="97"/>
      <c r="H252" s="97"/>
      <c r="I252" s="97"/>
    </row>
    <row r="253">
      <c r="E253" s="97"/>
      <c r="H253" s="97"/>
      <c r="I253" s="97"/>
    </row>
    <row r="254">
      <c r="E254" s="97"/>
      <c r="H254" s="97"/>
      <c r="I254" s="97"/>
    </row>
    <row r="255">
      <c r="E255" s="97"/>
      <c r="H255" s="97"/>
      <c r="I255" s="97"/>
    </row>
    <row r="256">
      <c r="E256" s="97"/>
      <c r="H256" s="97"/>
      <c r="I256" s="97"/>
    </row>
    <row r="257">
      <c r="E257" s="97"/>
      <c r="H257" s="97"/>
      <c r="I257" s="97"/>
    </row>
    <row r="258">
      <c r="E258" s="97"/>
      <c r="H258" s="97"/>
      <c r="I258" s="97"/>
    </row>
    <row r="259">
      <c r="E259" s="97"/>
      <c r="H259" s="97"/>
      <c r="I259" s="97"/>
    </row>
    <row r="260">
      <c r="E260" s="97"/>
      <c r="H260" s="97"/>
      <c r="I260" s="97"/>
    </row>
    <row r="261">
      <c r="E261" s="97"/>
      <c r="H261" s="97"/>
      <c r="I261" s="97"/>
    </row>
    <row r="262">
      <c r="E262" s="97"/>
      <c r="H262" s="97"/>
      <c r="I262" s="97"/>
    </row>
    <row r="263">
      <c r="E263" s="97"/>
      <c r="H263" s="97"/>
      <c r="I263" s="97"/>
    </row>
    <row r="264">
      <c r="E264" s="97"/>
      <c r="H264" s="97"/>
      <c r="I264" s="97"/>
    </row>
    <row r="265">
      <c r="E265" s="97"/>
      <c r="H265" s="97"/>
      <c r="I265" s="97"/>
    </row>
    <row r="266">
      <c r="E266" s="97"/>
      <c r="H266" s="97"/>
      <c r="I266" s="97"/>
    </row>
    <row r="267">
      <c r="E267" s="97"/>
      <c r="H267" s="97"/>
      <c r="I267" s="97"/>
    </row>
    <row r="268">
      <c r="E268" s="97"/>
      <c r="H268" s="97"/>
      <c r="I268" s="97"/>
    </row>
    <row r="269">
      <c r="E269" s="97"/>
      <c r="H269" s="97"/>
      <c r="I269" s="97"/>
    </row>
    <row r="270">
      <c r="E270" s="97"/>
      <c r="H270" s="97"/>
      <c r="I270" s="97"/>
    </row>
    <row r="271">
      <c r="E271" s="97"/>
      <c r="H271" s="97"/>
      <c r="I271" s="97"/>
    </row>
    <row r="272">
      <c r="E272" s="97"/>
      <c r="H272" s="97"/>
      <c r="I272" s="97"/>
    </row>
    <row r="273">
      <c r="E273" s="97"/>
      <c r="H273" s="97"/>
      <c r="I273" s="97"/>
    </row>
    <row r="274">
      <c r="E274" s="97"/>
      <c r="H274" s="97"/>
      <c r="I274" s="97"/>
    </row>
    <row r="275">
      <c r="E275" s="97"/>
      <c r="H275" s="97"/>
      <c r="I275" s="97"/>
    </row>
    <row r="276">
      <c r="E276" s="97"/>
      <c r="H276" s="97"/>
      <c r="I276" s="97"/>
    </row>
    <row r="277">
      <c r="E277" s="97"/>
      <c r="H277" s="97"/>
      <c r="I277" s="97"/>
    </row>
    <row r="278">
      <c r="E278" s="97"/>
      <c r="H278" s="97"/>
      <c r="I278" s="97"/>
    </row>
    <row r="279">
      <c r="E279" s="97"/>
      <c r="H279" s="97"/>
      <c r="I279" s="97"/>
    </row>
    <row r="280">
      <c r="E280" s="97"/>
      <c r="H280" s="97"/>
      <c r="I280" s="97"/>
    </row>
    <row r="281">
      <c r="E281" s="97"/>
      <c r="H281" s="97"/>
      <c r="I281" s="97"/>
    </row>
    <row r="282">
      <c r="E282" s="97"/>
      <c r="H282" s="97"/>
      <c r="I282" s="97"/>
    </row>
    <row r="283">
      <c r="E283" s="97"/>
      <c r="H283" s="97"/>
      <c r="I283" s="97"/>
    </row>
    <row r="284">
      <c r="E284" s="97"/>
      <c r="H284" s="97"/>
      <c r="I284" s="97"/>
    </row>
    <row r="285">
      <c r="E285" s="97"/>
      <c r="H285" s="97"/>
      <c r="I285" s="97"/>
    </row>
    <row r="286">
      <c r="E286" s="97"/>
      <c r="H286" s="97"/>
      <c r="I286" s="97"/>
    </row>
    <row r="287">
      <c r="E287" s="97"/>
      <c r="H287" s="97"/>
      <c r="I287" s="97"/>
    </row>
    <row r="288">
      <c r="E288" s="97"/>
      <c r="H288" s="97"/>
      <c r="I288" s="97"/>
    </row>
    <row r="289">
      <c r="E289" s="97"/>
      <c r="H289" s="97"/>
      <c r="I289" s="97"/>
    </row>
    <row r="290">
      <c r="E290" s="97"/>
      <c r="H290" s="97"/>
      <c r="I290" s="97"/>
    </row>
    <row r="291">
      <c r="E291" s="97"/>
      <c r="H291" s="97"/>
      <c r="I291" s="97"/>
    </row>
    <row r="292">
      <c r="E292" s="97"/>
      <c r="H292" s="97"/>
      <c r="I292" s="97"/>
    </row>
    <row r="293">
      <c r="E293" s="97"/>
      <c r="H293" s="97"/>
      <c r="I293" s="97"/>
    </row>
    <row r="294">
      <c r="E294" s="97"/>
      <c r="H294" s="97"/>
      <c r="I294" s="97"/>
    </row>
    <row r="295">
      <c r="E295" s="97"/>
      <c r="H295" s="97"/>
      <c r="I295" s="97"/>
    </row>
    <row r="296">
      <c r="E296" s="97"/>
      <c r="H296" s="97"/>
      <c r="I296" s="97"/>
    </row>
    <row r="297">
      <c r="E297" s="97"/>
      <c r="H297" s="97"/>
      <c r="I297" s="97"/>
    </row>
    <row r="298">
      <c r="E298" s="97"/>
      <c r="H298" s="97"/>
      <c r="I298" s="97"/>
    </row>
    <row r="299">
      <c r="E299" s="97"/>
      <c r="H299" s="97"/>
      <c r="I299" s="97"/>
    </row>
    <row r="300">
      <c r="E300" s="97"/>
      <c r="H300" s="97"/>
      <c r="I300" s="97"/>
    </row>
  </sheetData>
  <autoFilter ref="$A$5:$N$300"/>
  <mergeCells count="3">
    <mergeCell ref="A1:N2"/>
    <mergeCell ref="A3:N3"/>
    <mergeCell ref="A4:N4"/>
  </mergeCells>
  <dataValidations>
    <dataValidation type="list" allowBlank="1" sqref="E6:E300">
      <formula1>"Target,Contacted,Conversation,Tasting / Sample,Follow-up / Close,Standing Account,Other"</formula1>
    </dataValidation>
    <dataValidation type="list" allowBlank="1" showErrorMessage="1" sqref="I6:I300">
      <formula1>"Open,Waiting,Scheduled,Done,Dropped"</formula1>
    </dataValidation>
    <dataValidation type="list" allowBlank="1" sqref="H6:H300">
      <formula1>"Ahmad,Emmanuel,Moises,Cathy,Viane,Lorena"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9" width="15.14"/>
    <col customWidth="1" min="10" max="11" width="25.86"/>
    <col customWidth="1" min="12" max="12" width="15.14"/>
  </cols>
  <sheetData>
    <row r="1">
      <c r="A1" s="44" t="s">
        <v>984</v>
      </c>
    </row>
    <row r="3">
      <c r="A3" s="83"/>
    </row>
    <row r="5">
      <c r="A5" s="27" t="s">
        <v>985</v>
      </c>
    </row>
    <row r="6">
      <c r="A6" s="87" t="s">
        <v>916</v>
      </c>
      <c r="B6" s="87" t="s">
        <v>903</v>
      </c>
      <c r="C6" s="87" t="s">
        <v>17</v>
      </c>
      <c r="D6" s="87" t="s">
        <v>18</v>
      </c>
      <c r="E6" s="87" t="s">
        <v>19</v>
      </c>
      <c r="F6" s="87" t="s">
        <v>20</v>
      </c>
      <c r="G6" s="87" t="s">
        <v>21</v>
      </c>
      <c r="H6" s="87" t="s">
        <v>22</v>
      </c>
      <c r="I6" s="87" t="s">
        <v>16</v>
      </c>
      <c r="J6" s="87" t="s">
        <v>986</v>
      </c>
      <c r="K6" s="87" t="s">
        <v>987</v>
      </c>
      <c r="L6" s="87" t="s">
        <v>71</v>
      </c>
    </row>
    <row r="7">
      <c r="A7" s="88" t="s">
        <v>331</v>
      </c>
      <c r="B7" s="88" t="s">
        <v>988</v>
      </c>
      <c r="C7" s="88" t="s">
        <v>989</v>
      </c>
      <c r="D7" s="88" t="s">
        <v>989</v>
      </c>
      <c r="E7" s="88" t="s">
        <v>990</v>
      </c>
      <c r="F7" s="88" t="s">
        <v>990</v>
      </c>
      <c r="G7" s="88" t="s">
        <v>936</v>
      </c>
      <c r="H7" s="88" t="s">
        <v>990</v>
      </c>
      <c r="I7" s="88" t="s">
        <v>371</v>
      </c>
      <c r="J7" s="88" t="s">
        <v>991</v>
      </c>
      <c r="K7" s="88" t="s">
        <v>992</v>
      </c>
      <c r="L7" s="88" t="s">
        <v>993</v>
      </c>
    </row>
    <row r="8">
      <c r="A8" s="88" t="s">
        <v>99</v>
      </c>
      <c r="B8" s="88" t="s">
        <v>341</v>
      </c>
      <c r="C8" s="88" t="s">
        <v>994</v>
      </c>
      <c r="D8" s="88" t="s">
        <v>994</v>
      </c>
      <c r="E8" s="88" t="s">
        <v>994</v>
      </c>
      <c r="F8" s="88" t="s">
        <v>994</v>
      </c>
      <c r="G8" s="88" t="s">
        <v>994</v>
      </c>
      <c r="H8" s="88" t="s">
        <v>921</v>
      </c>
      <c r="I8" s="88" t="s">
        <v>936</v>
      </c>
      <c r="J8" s="88" t="s">
        <v>995</v>
      </c>
      <c r="K8" s="88" t="s">
        <v>996</v>
      </c>
      <c r="L8" s="88" t="s">
        <v>994</v>
      </c>
    </row>
    <row r="9">
      <c r="A9" s="88" t="s">
        <v>109</v>
      </c>
      <c r="B9" s="88" t="s">
        <v>350</v>
      </c>
      <c r="C9" s="88" t="s">
        <v>997</v>
      </c>
      <c r="D9" s="88" t="s">
        <v>998</v>
      </c>
      <c r="E9" s="88" t="s">
        <v>998</v>
      </c>
      <c r="F9" s="88" t="s">
        <v>998</v>
      </c>
      <c r="G9" s="88" t="s">
        <v>997</v>
      </c>
      <c r="H9" s="88" t="s">
        <v>921</v>
      </c>
      <c r="I9" s="88" t="s">
        <v>999</v>
      </c>
      <c r="J9" s="88" t="s">
        <v>1000</v>
      </c>
      <c r="K9" s="88" t="s">
        <v>1001</v>
      </c>
      <c r="L9" s="88" t="s">
        <v>993</v>
      </c>
    </row>
    <row r="10">
      <c r="A10" s="88" t="s">
        <v>1002</v>
      </c>
      <c r="B10" s="88" t="s">
        <v>1003</v>
      </c>
      <c r="C10" s="88" t="s">
        <v>994</v>
      </c>
      <c r="D10" s="88" t="s">
        <v>994</v>
      </c>
      <c r="E10" s="88" t="s">
        <v>994</v>
      </c>
      <c r="F10" s="88" t="s">
        <v>994</v>
      </c>
      <c r="G10" s="88" t="s">
        <v>994</v>
      </c>
      <c r="H10" s="88" t="s">
        <v>994</v>
      </c>
      <c r="I10" s="88" t="s">
        <v>921</v>
      </c>
      <c r="J10" s="88" t="s">
        <v>1004</v>
      </c>
      <c r="K10" s="88" t="s">
        <v>1005</v>
      </c>
      <c r="L10" s="88" t="s">
        <v>994</v>
      </c>
    </row>
    <row r="11">
      <c r="A11" s="88" t="s">
        <v>920</v>
      </c>
      <c r="B11" s="88" t="s">
        <v>1006</v>
      </c>
      <c r="C11" s="88" t="s">
        <v>921</v>
      </c>
      <c r="D11" s="88" t="s">
        <v>922</v>
      </c>
      <c r="E11" s="88" t="s">
        <v>921</v>
      </c>
      <c r="F11" s="88" t="s">
        <v>922</v>
      </c>
      <c r="G11" s="88" t="s">
        <v>922</v>
      </c>
      <c r="H11" s="88" t="s">
        <v>922</v>
      </c>
      <c r="I11" s="88" t="s">
        <v>921</v>
      </c>
      <c r="J11" s="88" t="s">
        <v>1007</v>
      </c>
      <c r="K11" s="88" t="s">
        <v>1008</v>
      </c>
      <c r="L11" s="88" t="s">
        <v>993</v>
      </c>
    </row>
    <row r="12">
      <c r="A12" s="88" t="s">
        <v>925</v>
      </c>
      <c r="B12" s="88" t="s">
        <v>1009</v>
      </c>
      <c r="C12" s="88" t="s">
        <v>927</v>
      </c>
      <c r="D12" s="88" t="s">
        <v>927</v>
      </c>
      <c r="E12" s="88" t="s">
        <v>927</v>
      </c>
      <c r="F12" s="88" t="s">
        <v>927</v>
      </c>
      <c r="G12" s="88" t="s">
        <v>927</v>
      </c>
      <c r="H12" s="88" t="s">
        <v>927</v>
      </c>
      <c r="I12" s="88" t="s">
        <v>921</v>
      </c>
      <c r="J12" s="88" t="s">
        <v>928</v>
      </c>
      <c r="K12" s="88" t="s">
        <v>929</v>
      </c>
      <c r="L12" s="88" t="s">
        <v>993</v>
      </c>
    </row>
    <row r="15">
      <c r="A15" s="27" t="s">
        <v>1010</v>
      </c>
    </row>
    <row r="16">
      <c r="A16" s="102" t="str">
        <f>IFERROR(__xludf.DUMMYFUNCTION("IFERROR(FILTER(HSTACK('05_PEOPLE_CAPACITY'!A2:A120,'05_PEOPLE_CAPACITY'!B2:B120,'05_PEOPLE_CAPACITY'!D2:D120,'05_PEOPLE_CAPACITY'!E2:E120,'05_PEOPLE_CAPACITY'!F2:F120,'05_PEOPLE_CAPACITY'!G2:G120,'05_PEOPLE_CAPACITY'!H2:H120),'05_PEOPLE_CAPACITY'!A2:A120&lt;"&amp;"&gt;""""),""No people records"")"),"Ahmad")</f>
        <v>Ahmad</v>
      </c>
      <c r="B16" s="102" t="str">
        <f>IFERROR(__xludf.DUMMYFUNCTION("""COMPUTED_VALUE"""),"Owner / Final Accountability")</f>
        <v>Owner / Final Accountability</v>
      </c>
      <c r="C16" s="102" t="str">
        <f>IFERROR(__xludf.DUMMYFUNCTION("""COMPUTED_VALUE"""),"Decisions / priorities; income-producing/high-value activity; podcast")</f>
        <v>Decisions / priorities; income-producing/high-value activity; podcast</v>
      </c>
      <c r="D16" s="102" t="str">
        <f>IFERROR(__xludf.DUMMYFUNCTION("""COMPUTED_VALUE"""),"Protect decision and high-value time")</f>
        <v>Protect decision and high-value time</v>
      </c>
      <c r="E16" s="102"/>
      <c r="F16" s="102"/>
      <c r="G16" s="102" t="str">
        <f>IFERROR(__xludf.DUMMYFUNCTION("""COMPUTED_VALUE"""),"Active")</f>
        <v>Active</v>
      </c>
      <c r="H16" s="102"/>
      <c r="I16" s="102"/>
      <c r="J16" s="102"/>
      <c r="K16" s="102"/>
      <c r="L16" s="102"/>
    </row>
    <row r="17">
      <c r="A17" s="102" t="str">
        <f>IFERROR(__xludf.DUMMYFUNCTION("""COMPUTED_VALUE"""),"Emmanuel")</f>
        <v>Emmanuel</v>
      </c>
      <c r="B17" s="102" t="str">
        <f>IFERROR(__xludf.DUMMYFUNCTION("""COMPUTED_VALUE"""),"Coordinator / Integrator")</f>
        <v>Coordinator / Integrator</v>
      </c>
      <c r="C17" s="102" t="str">
        <f>IFERROR(__xludf.DUMMYFUNCTION("""COMPUTED_VALUE"""),"Gardenia's; Edible correction; Finance integration; systems rollout")</f>
        <v>Gardenia's; Edible correction; Finance integration; systems rollout</v>
      </c>
      <c r="D17" s="102" t="str">
        <f>IFERROR(__xludf.DUMMYFUNCTION("""COMPUTED_VALUE"""),"Current capacity to confirm")</f>
        <v>Current capacity to confirm</v>
      </c>
      <c r="E17" s="102" t="str">
        <f>IFERROR(__xludf.DUMMYFUNCTION("""COMPUTED_VALUE"""),"Multiple interim roles / avoid bookkeeping burden")</f>
        <v>Multiple interim roles / avoid bookkeeping burden</v>
      </c>
      <c r="F17" s="102" t="str">
        <f>IFERROR(__xludf.DUMMYFUNCTION("""COMPUTED_VALUE"""),"Ahmad")</f>
        <v>Ahmad</v>
      </c>
      <c r="G17" s="102" t="str">
        <f>IFERROR(__xludf.DUMMYFUNCTION("""COMPUTED_VALUE"""),"Active")</f>
        <v>Active</v>
      </c>
      <c r="H17" s="102"/>
      <c r="I17" s="102"/>
      <c r="J17" s="102"/>
      <c r="K17" s="102"/>
      <c r="L17" s="102"/>
    </row>
    <row r="18">
      <c r="A18" s="102" t="str">
        <f>IFERROR(__xludf.DUMMYFUNCTION("""COMPUTED_VALUE"""),"Moises")</f>
        <v>Moises</v>
      </c>
      <c r="B18" s="102" t="str">
        <f>IFERROR(__xludf.DUMMYFUNCTION("""COMPUTED_VALUE"""),"Finance / Bookkeeping")</f>
        <v>Finance / Bookkeeping</v>
      </c>
      <c r="C18" s="102" t="str">
        <f>IFERROR(__xludf.DUMMYFUNCTION("""COMPUTED_VALUE"""),"Books/reconciliations; creditors; evidence; Phase 1 back-end support")</f>
        <v>Books/reconciliations; creditors; evidence; Phase 1 back-end support</v>
      </c>
      <c r="D18" s="102" t="str">
        <f>IFERROR(__xludf.DUMMYFUNCTION("""COMPUTED_VALUE"""),"Standing schedule to confirm for this week")</f>
        <v>Standing schedule to confirm for this week</v>
      </c>
      <c r="E18" s="102"/>
      <c r="F18" s="102" t="str">
        <f>IFERROR(__xludf.DUMMYFUNCTION("""COMPUTED_VALUE"""),"Emmanuel")</f>
        <v>Emmanuel</v>
      </c>
      <c r="G18" s="102" t="str">
        <f>IFERROR(__xludf.DUMMYFUNCTION("""COMPUTED_VALUE"""),"Active")</f>
        <v>Active</v>
      </c>
      <c r="H18" s="102"/>
      <c r="I18" s="102"/>
      <c r="J18" s="102"/>
      <c r="K18" s="102"/>
      <c r="L18" s="102"/>
    </row>
    <row r="19">
      <c r="A19" s="102" t="str">
        <f>IFERROR(__xludf.DUMMYFUNCTION("""COMPUTED_VALUE"""),"Viane")</f>
        <v>Viane</v>
      </c>
      <c r="B19" s="102" t="str">
        <f>IFERROR(__xludf.DUMMYFUNCTION("""COMPUTED_VALUE"""),"New Staff — Role to Confirm")</f>
        <v>New Staff — Role to Confirm</v>
      </c>
      <c r="C19" s="102" t="str">
        <f>IFERROR(__xludf.DUMMYFUNCTION("""COMPUTED_VALUE"""),"Confirm role / availability; assign one contained responsibility with clear result")</f>
        <v>Confirm role / availability; assign one contained responsibility with clear result</v>
      </c>
      <c r="D19" s="102" t="str">
        <f>IFERROR(__xludf.DUMMYFUNCTION("""COMPUTED_VALUE"""),"Confirm current schedule / capacity")</f>
        <v>Confirm current schedule / capacity</v>
      </c>
      <c r="E19" s="102" t="str">
        <f>IFERROR(__xludf.DUMMYFUNCTION("""COMPUTED_VALUE"""),"Do not broaden until ownership and result are clear")</f>
        <v>Do not broaden until ownership and result are clear</v>
      </c>
      <c r="F19" s="102" t="str">
        <f>IFERROR(__xludf.DUMMYFUNCTION("""COMPUTED_VALUE"""),"Emmanuel")</f>
        <v>Emmanuel</v>
      </c>
      <c r="G19" s="102" t="str">
        <f>IFERROR(__xludf.DUMMYFUNCTION("""COMPUTED_VALUE"""),"Confirm")</f>
        <v>Confirm</v>
      </c>
      <c r="H19" s="102"/>
      <c r="I19" s="102"/>
      <c r="J19" s="102"/>
      <c r="K19" s="102"/>
      <c r="L19" s="102"/>
    </row>
    <row r="20">
      <c r="A20" s="102" t="str">
        <f>IFERROR(__xludf.DUMMYFUNCTION("""COMPUTED_VALUE"""),"Cathy")</f>
        <v>Cathy</v>
      </c>
      <c r="B20" s="102" t="str">
        <f>IFERROR(__xludf.DUMMYFUNCTION("""COMPUTED_VALUE"""),"Edible Store Lead")</f>
        <v>Edible Store Lead</v>
      </c>
      <c r="C20" s="102" t="str">
        <f>IFERROR(__xludf.DUMMYFUNCTION("""COMPUTED_VALUE"""),"Store coverage; labor discipline; service; week-close execution")</f>
        <v>Store coverage; labor discipline; service; week-close execution</v>
      </c>
      <c r="D20" s="102" t="str">
        <f>IFERROR(__xludf.DUMMYFUNCTION("""COMPUTED_VALUE"""),"Tue / Thu / Fri / Sat; ~30–32 hrs/wk current known pattern — verify weekly")</f>
        <v>Tue / Thu / Fri / Sat; ~30–32 hrs/wk current known pattern — verify weekly</v>
      </c>
      <c r="E20" s="102" t="str">
        <f>IFERROR(__xludf.DUMMYFUNCTION("""COMPUTED_VALUE"""),"Schedule should align with labor target and store demand")</f>
        <v>Schedule should align with labor target and store demand</v>
      </c>
      <c r="F20" s="102" t="str">
        <f>IFERROR(__xludf.DUMMYFUNCTION("""COMPUTED_VALUE"""),"Emmanuel")</f>
        <v>Emmanuel</v>
      </c>
      <c r="G20" s="102" t="str">
        <f>IFERROR(__xludf.DUMMYFUNCTION("""COMPUTED_VALUE"""),"Active")</f>
        <v>Active</v>
      </c>
      <c r="H20" s="102"/>
      <c r="I20" s="102"/>
      <c r="J20" s="102"/>
      <c r="K20" s="102"/>
      <c r="L20" s="102"/>
    </row>
    <row r="21">
      <c r="A21" s="102" t="str">
        <f>IFERROR(__xludf.DUMMYFUNCTION("""COMPUTED_VALUE"""),"Lorena")</f>
        <v>Lorena</v>
      </c>
      <c r="B21" s="102" t="str">
        <f>IFERROR(__xludf.DUMMYFUNCTION("""COMPUTED_VALUE"""),"Edible Production")</f>
        <v>Edible Production</v>
      </c>
      <c r="C21" s="102" t="str">
        <f>IFERROR(__xludf.DUMMYFUNCTION("""COMPUTED_VALUE"""),"Production continuity; quality; readiness")</f>
        <v>Production continuity; quality; readiness</v>
      </c>
      <c r="D21" s="102" t="str">
        <f>IFERROR(__xludf.DUMMYFUNCTION("""COMPUTED_VALUE"""),"Current schedule to confirm")</f>
        <v>Current schedule to confirm</v>
      </c>
      <c r="E21" s="102" t="str">
        <f>IFERROR(__xludf.DUMMYFUNCTION("""COMPUTED_VALUE"""),"Confirm coverage and responsibilities")</f>
        <v>Confirm coverage and responsibilities</v>
      </c>
      <c r="F21" s="102" t="str">
        <f>IFERROR(__xludf.DUMMYFUNCTION("""COMPUTED_VALUE"""),"Cathy / Emmanuel")</f>
        <v>Cathy / Emmanuel</v>
      </c>
      <c r="G21" s="102" t="str">
        <f>IFERROR(__xludf.DUMMYFUNCTION("""COMPUTED_VALUE"""),"Active")</f>
        <v>Active</v>
      </c>
      <c r="H21" s="102"/>
      <c r="I21" s="102"/>
      <c r="J21" s="102"/>
      <c r="K21" s="102"/>
      <c r="L21" s="102"/>
    </row>
    <row r="22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</row>
    <row r="23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</row>
    <row r="24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</row>
    <row r="25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</row>
    <row r="26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</row>
    <row r="27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</row>
    <row r="28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</row>
  </sheetData>
  <mergeCells count="4">
    <mergeCell ref="A1:L2"/>
    <mergeCell ref="A3:L3"/>
    <mergeCell ref="A5:L5"/>
    <mergeCell ref="A15:L15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71"/>
    <col customWidth="1" min="2" max="2" width="47.29"/>
    <col customWidth="1" min="3" max="6" width="19.43"/>
  </cols>
  <sheetData>
    <row r="1">
      <c r="A1" s="98" t="s">
        <v>1011</v>
      </c>
    </row>
    <row r="3">
      <c r="A3" s="68" t="s">
        <v>1012</v>
      </c>
    </row>
    <row r="5">
      <c r="A5" s="54" t="str">
        <f>"OPEN DECISIONS"&amp;CHAR(10)&amp;COUNTIF('06_DECISIONS'!G:G,"Open")</f>
        <v>OPEN DECISIONS
1</v>
      </c>
      <c r="B5" s="55"/>
      <c r="C5" s="57"/>
      <c r="D5" s="54" t="str">
        <f>"WAITING ON AHMAD"&amp;CHAR(10)&amp;COUNTIF('WORK DESK — UPDATE'!K:K,"Ahmad")</f>
        <v>WAITING ON AHMAD
1</v>
      </c>
      <c r="E5" s="55"/>
      <c r="F5" s="57"/>
      <c r="G5" s="54" t="str">
        <f>"MATERIAL ESCALATIONS"&amp;CHAR(10)&amp;COUNTIFS('WORK DESK — UPDATE'!Q:Q,"Yes",'WORK DESK — UPDATE'!J:J,"&lt;&gt;Done")</f>
        <v>MATERIAL ESCALATIONS
3</v>
      </c>
      <c r="H5" s="55"/>
      <c r="I5" s="57"/>
      <c r="J5" s="54" t="str">
        <f>"PERSONAL CONTROLS OPEN"&amp;CHAR(10)&amp;COUNTIFS('WEEK CLOSE — UPDATE'!B:B,"Ahmad Personal Finance / Life",'WEEK CLOSE — UPDATE'!G:G,"&lt;&gt;Done")</f>
        <v>PERSONAL CONTROLS OPEN
3</v>
      </c>
      <c r="K5" s="55"/>
      <c r="L5" s="57"/>
    </row>
    <row r="6">
      <c r="A6" s="61"/>
      <c r="C6" s="62"/>
      <c r="D6" s="61"/>
      <c r="F6" s="62"/>
      <c r="G6" s="61"/>
      <c r="I6" s="62"/>
      <c r="J6" s="61"/>
      <c r="L6" s="62"/>
    </row>
    <row r="7">
      <c r="A7" s="63"/>
      <c r="B7" s="64"/>
      <c r="C7" s="65"/>
      <c r="D7" s="63"/>
      <c r="E7" s="64"/>
      <c r="F7" s="65"/>
      <c r="G7" s="63"/>
      <c r="H7" s="64"/>
      <c r="I7" s="65"/>
      <c r="J7" s="63"/>
      <c r="K7" s="64"/>
      <c r="L7" s="65"/>
    </row>
    <row r="9">
      <c r="A9" s="101" t="s">
        <v>1022</v>
      </c>
    </row>
    <row r="10">
      <c r="A10" s="67" t="s">
        <v>891</v>
      </c>
      <c r="B10" s="67" t="s">
        <v>1023</v>
      </c>
      <c r="C10" s="67" t="s">
        <v>1024</v>
      </c>
      <c r="D10" s="67" t="s">
        <v>1025</v>
      </c>
      <c r="E10" s="67" t="s">
        <v>71</v>
      </c>
      <c r="F10" s="67" t="s">
        <v>1026</v>
      </c>
    </row>
    <row r="11">
      <c r="A11" s="69" t="str">
        <f>IFERROR(__xludf.DUMMYFUNCTION("IFERROR(FILTER(HSTACK('06_DECISIONS'!B2:B120,'06_DECISIONS'!C2:C120,'06_DECISIONS'!D2:D120,'06_DECISIONS'!F2:F120,'06_DECISIONS'!G2:G120,'06_DECISIONS'!H2:H120),'06_DECISIONS'!B2:B120&lt;&gt;""""),""No decisions recorded"")"),"Gardenia's Fire")</f>
        <v>Gardenia's Fire</v>
      </c>
      <c r="B11" s="69" t="str">
        <f>IFERROR(__xludf.DUMMYFUNCTION("""COMPUTED_VALUE"""),"Confirm launch offer / pricing after product costing is complete")</f>
        <v>Confirm launch offer / pricing after product costing is complete</v>
      </c>
      <c r="C11" s="69" t="str">
        <f>IFERROR(__xludf.DUMMYFUNCTION("""COMPUTED_VALUE"""),"Emmanuel")</f>
        <v>Emmanuel</v>
      </c>
      <c r="D11" s="70">
        <f>IFERROR(__xludf.DUMMYFUNCTION("""COMPUTED_VALUE"""),46266.0)</f>
        <v>46266</v>
      </c>
      <c r="E11" s="69" t="str">
        <f>IFERROR(__xludf.DUMMYFUNCTION("""COMPUTED_VALUE"""),"Open")</f>
        <v>Open</v>
      </c>
      <c r="F11" s="69"/>
    </row>
    <row r="12">
      <c r="A12" s="69" t="str">
        <f>IFERROR(__xludf.DUMMYFUNCTION("""COMPUTED_VALUE"""),"People / Systems")</f>
        <v>People / Systems</v>
      </c>
      <c r="B12" s="69" t="str">
        <f>IFERROR(__xludf.DUMMYFUNCTION("""COMPUTED_VALUE"""),"Hire external Google Workspace / AppSheet integrator now?")</f>
        <v>Hire external Google Workspace / AppSheet integrator now?</v>
      </c>
      <c r="C12" s="69" t="str">
        <f>IFERROR(__xludf.DUMMYFUNCTION("""COMPUTED_VALUE"""),"Ahmad")</f>
        <v>Ahmad</v>
      </c>
      <c r="D12" s="70">
        <f>IFERROR(__xludf.DUMMYFUNCTION("""COMPUTED_VALUE"""),46264.0)</f>
        <v>46264</v>
      </c>
      <c r="E12" s="69" t="str">
        <f>IFERROR(__xludf.DUMMYFUNCTION("""COMPUTED_VALUE"""),"Decided")</f>
        <v>Decided</v>
      </c>
      <c r="F12" s="69" t="str">
        <f>IFERROR(__xludf.DUMMYFUNCTION("""COMPUTED_VALUE"""),"Not yet. Continue ChatGPT-led build; revisit only if hands-on AppSheet/configuration burden warrants temporary help.")</f>
        <v>Not yet. Continue ChatGPT-led build; revisit only if hands-on AppSheet/configuration burden warrants temporary help.</v>
      </c>
    </row>
    <row r="13">
      <c r="A13" s="69"/>
      <c r="B13" s="69"/>
      <c r="C13" s="69"/>
      <c r="D13" s="70"/>
      <c r="E13" s="69"/>
      <c r="F13" s="69"/>
    </row>
    <row r="14">
      <c r="A14" s="69"/>
      <c r="B14" s="69"/>
      <c r="C14" s="69"/>
      <c r="D14" s="70"/>
      <c r="E14" s="69"/>
      <c r="F14" s="69"/>
    </row>
    <row r="15">
      <c r="A15" s="69"/>
      <c r="B15" s="69"/>
      <c r="C15" s="69"/>
      <c r="D15" s="70"/>
      <c r="E15" s="69"/>
      <c r="F15" s="69"/>
    </row>
    <row r="16">
      <c r="A16" s="69"/>
      <c r="B16" s="69"/>
      <c r="C16" s="69"/>
      <c r="D16" s="70"/>
      <c r="E16" s="69"/>
      <c r="F16" s="69"/>
    </row>
    <row r="17">
      <c r="A17" s="69"/>
      <c r="B17" s="69"/>
      <c r="C17" s="69"/>
      <c r="D17" s="70"/>
      <c r="E17" s="69"/>
      <c r="F17" s="69"/>
    </row>
    <row r="18">
      <c r="A18" s="69"/>
      <c r="B18" s="69"/>
      <c r="C18" s="69"/>
      <c r="D18" s="70"/>
      <c r="E18" s="69"/>
      <c r="F18" s="69"/>
    </row>
    <row r="19">
      <c r="A19" s="69"/>
      <c r="B19" s="69"/>
      <c r="C19" s="69"/>
      <c r="D19" s="70"/>
      <c r="E19" s="69"/>
      <c r="F19" s="69"/>
    </row>
    <row r="20">
      <c r="A20" s="69"/>
      <c r="B20" s="69"/>
      <c r="C20" s="69"/>
      <c r="D20" s="70"/>
      <c r="E20" s="69"/>
      <c r="F20" s="69"/>
    </row>
    <row r="21">
      <c r="A21" s="69" t="s">
        <v>1051</v>
      </c>
      <c r="B21" s="69"/>
      <c r="C21" s="69"/>
      <c r="D21" s="69"/>
      <c r="E21" s="69"/>
      <c r="F21" s="69"/>
    </row>
    <row r="22">
      <c r="A22" s="94" t="s">
        <v>902</v>
      </c>
    </row>
    <row r="23">
      <c r="A23" s="94" t="s">
        <v>904</v>
      </c>
      <c r="B23" s="94" t="s">
        <v>69</v>
      </c>
      <c r="C23" s="94" t="s">
        <v>70</v>
      </c>
      <c r="D23" s="94" t="s">
        <v>71</v>
      </c>
      <c r="E23" s="94" t="s">
        <v>905</v>
      </c>
      <c r="F23" s="94" t="s">
        <v>967</v>
      </c>
    </row>
    <row r="24">
      <c r="A24" s="69" t="str">
        <f>IFERROR(__xludf.DUMMYFUNCTION("IFERROR(FILTER(HSTACK('WEEK CLOSE — UPDATE'!C2:C120,'WEEK CLOSE — UPDATE'!D2:D120,'WEEK CLOSE — UPDATE'!F2:F120,'WEEK CLOSE — UPDATE'!G2:G120,'WEEK CLOSE — UPDATE'!I2:I120,'WEEK CLOSE — UPDATE'!J2:J120),'WEEK CLOSE — UPDATE'!B2:B120=""Ahmad Personal Finan"&amp;"ce / Life""),""No personal controls"")"),"Upcoming personal bills/obligations reviewed")</f>
        <v>Upcoming personal bills/obligations reviewed</v>
      </c>
      <c r="B24" s="69" t="str">
        <f>IFERROR(__xludf.DUMMYFUNCTION("""COMPUTED_VALUE"""),"Moises")</f>
        <v>Moises</v>
      </c>
      <c r="C24" s="70">
        <f>IFERROR(__xludf.DUMMYFUNCTION("""COMPUTED_VALUE"""),46269.0)</f>
        <v>46269</v>
      </c>
      <c r="D24" s="69" t="str">
        <f>IFERROR(__xludf.DUMMYFUNCTION("""COMPUTED_VALUE"""),"Open")</f>
        <v>Open</v>
      </c>
      <c r="E24" s="69" t="str">
        <f>IFERROR(__xludf.DUMMYFUNCTION("""COMPUTED_VALUE"""),"No")</f>
        <v>No</v>
      </c>
      <c r="F24" s="69"/>
    </row>
    <row r="25">
      <c r="A25" s="69" t="str">
        <f>IFERROR(__xludf.DUMMYFUNCTION("""COMPUTED_VALUE"""),"Money-in / money-out and material exceptions reviewed")</f>
        <v>Money-in / money-out and material exceptions reviewed</v>
      </c>
      <c r="B25" s="69" t="str">
        <f>IFERROR(__xludf.DUMMYFUNCTION("""COMPUTED_VALUE"""),"Moises")</f>
        <v>Moises</v>
      </c>
      <c r="C25" s="70">
        <f>IFERROR(__xludf.DUMMYFUNCTION("""COMPUTED_VALUE"""),46269.0)</f>
        <v>46269</v>
      </c>
      <c r="D25" s="69" t="str">
        <f>IFERROR(__xludf.DUMMYFUNCTION("""COMPUTED_VALUE"""),"Open")</f>
        <v>Open</v>
      </c>
      <c r="E25" s="69" t="str">
        <f>IFERROR(__xludf.DUMMYFUNCTION("""COMPUTED_VALUE"""),"No")</f>
        <v>No</v>
      </c>
      <c r="F25" s="69"/>
    </row>
    <row r="26">
      <c r="A26" s="69" t="str">
        <f>IFERROR(__xludf.DUMMYFUNCTION("""COMPUTED_VALUE"""),"Personal-finance exceptions / deadlines reviewed and escalated to Ahmad")</f>
        <v>Personal-finance exceptions / deadlines reviewed and escalated to Ahmad</v>
      </c>
      <c r="B26" s="69" t="str">
        <f>IFERROR(__xludf.DUMMYFUNCTION("""COMPUTED_VALUE"""),"Emmanuel")</f>
        <v>Emmanuel</v>
      </c>
      <c r="C26" s="70">
        <f>IFERROR(__xludf.DUMMYFUNCTION("""COMPUTED_VALUE"""),46269.0)</f>
        <v>46269</v>
      </c>
      <c r="D26" s="69" t="str">
        <f>IFERROR(__xludf.DUMMYFUNCTION("""COMPUTED_VALUE"""),"Open")</f>
        <v>Open</v>
      </c>
      <c r="E26" s="69" t="str">
        <f>IFERROR(__xludf.DUMMYFUNCTION("""COMPUTED_VALUE"""),"No")</f>
        <v>No</v>
      </c>
      <c r="F26" s="69" t="str">
        <f>IFERROR(__xludf.DUMMYFUNCTION("""COMPUTED_VALUE"""),"Coordinate completeness and decisions; do not duplicate bookkeeping")</f>
        <v>Coordinate completeness and decisions; do not duplicate bookkeeping</v>
      </c>
    </row>
    <row r="27">
      <c r="A27" s="69"/>
      <c r="B27" s="69"/>
      <c r="C27" s="70"/>
      <c r="D27" s="69"/>
      <c r="E27" s="69"/>
      <c r="F27" s="69"/>
    </row>
    <row r="28">
      <c r="A28" s="69"/>
      <c r="B28" s="69"/>
      <c r="C28" s="70"/>
      <c r="D28" s="69"/>
      <c r="E28" s="69"/>
      <c r="F28" s="69"/>
    </row>
    <row r="29">
      <c r="A29" s="69"/>
      <c r="B29" s="69"/>
      <c r="C29" s="70"/>
      <c r="D29" s="69"/>
      <c r="E29" s="69"/>
      <c r="F29" s="69"/>
    </row>
    <row r="30">
      <c r="A30" s="69"/>
      <c r="B30" s="69"/>
      <c r="C30" s="70"/>
      <c r="D30" s="69"/>
      <c r="E30" s="69"/>
      <c r="F30" s="69"/>
    </row>
    <row r="31">
      <c r="A31" s="69"/>
      <c r="B31" s="69"/>
      <c r="C31" s="70"/>
      <c r="D31" s="69"/>
      <c r="E31" s="69"/>
      <c r="F31" s="69"/>
    </row>
    <row r="32">
      <c r="A32" s="69"/>
      <c r="B32" s="69"/>
      <c r="C32" s="70"/>
      <c r="D32" s="69"/>
      <c r="E32" s="69"/>
      <c r="F32" s="69"/>
    </row>
    <row r="33">
      <c r="A33" s="69" t="s">
        <v>1052</v>
      </c>
      <c r="B33" s="69"/>
      <c r="C33" s="70"/>
      <c r="D33" s="69"/>
      <c r="E33" s="69"/>
      <c r="F33" s="69"/>
    </row>
    <row r="34">
      <c r="A34" s="69" t="s">
        <v>891</v>
      </c>
      <c r="B34" s="69" t="s">
        <v>892</v>
      </c>
      <c r="C34" s="69" t="s">
        <v>69</v>
      </c>
      <c r="D34" s="69" t="s">
        <v>70</v>
      </c>
      <c r="E34" s="69" t="s">
        <v>71</v>
      </c>
      <c r="F34" s="69" t="s">
        <v>897</v>
      </c>
    </row>
    <row r="35">
      <c r="A35" s="69" t="str">
        <f>IFERROR(__xludf.DUMMYFUNCTION("IFERROR(FILTER(HSTACK('WORK DESK — UPDATE'!B6:B120,'WORK DESK — UPDATE'!C6:C120,'WORK DESK — UPDATE'!D6:D120,'WORK DESK — UPDATE'!I6:I120,'WORK DESK — UPDATE'!J6:J120,'WORK DESK — UPDATE'!K6:K120),'WORK DESK — UPDATE'!H6:H120=""Yes"",'WORK DESK — UPDATE'!"&amp;"J6:J120&lt;&gt;""Done"",'WORK DESK — UPDATE'!J6:J120&lt;&gt;""Dropped""),""No open income/result-producing work"")"),"Gardenia's Fire")</f>
        <v>Gardenia's Fire</v>
      </c>
    </row>
    <row r="36">
      <c r="A36" s="69" t="str">
        <f>IFERROR(__xludf.DUMMYFUNCTION("""COMPUTED_VALUE"""),"Gardenia's Fire")</f>
        <v>Gardenia's Fire</v>
      </c>
      <c r="B36" s="69" t="str">
        <f>IFERROR(__xludf.DUMMYFUNCTION("""COMPUTED_VALUE"""),"Build/confirm target account list")</f>
        <v>Build/confirm target account list</v>
      </c>
      <c r="C36" s="69" t="str">
        <f>IFERROR(__xludf.DUMMYFUNCTION("""COMPUTED_VALUE"""),"Emmanuel")</f>
        <v>Emmanuel</v>
      </c>
      <c r="D36" s="69">
        <f>IFERROR(__xludf.DUMMYFUNCTION("""COMPUTED_VALUE"""),46266.0)</f>
        <v>46266</v>
      </c>
      <c r="E36" s="69" t="str">
        <f>IFERROR(__xludf.DUMMYFUNCTION("""COMPUTED_VALUE"""),"Open")</f>
        <v>Open</v>
      </c>
      <c r="F36" s="69"/>
    </row>
    <row r="37">
      <c r="A37" s="69" t="str">
        <f>IFERROR(__xludf.DUMMYFUNCTION("""COMPUTED_VALUE"""),"Gardenia's Fire")</f>
        <v>Gardenia's Fire</v>
      </c>
      <c r="B37" s="69" t="str">
        <f>IFERROR(__xludf.DUMMYFUNCTION("""COMPUTED_VALUE"""),"Begin outreach and schedule tastings")</f>
        <v>Begin outreach and schedule tastings</v>
      </c>
      <c r="C37" s="69" t="str">
        <f>IFERROR(__xludf.DUMMYFUNCTION("""COMPUTED_VALUE"""),"Emmanuel")</f>
        <v>Emmanuel</v>
      </c>
      <c r="D37" s="70">
        <f>IFERROR(__xludf.DUMMYFUNCTION("""COMPUTED_VALUE"""),46269.0)</f>
        <v>46269</v>
      </c>
      <c r="E37" s="69" t="str">
        <f>IFERROR(__xludf.DUMMYFUNCTION("""COMPUTED_VALUE"""),"Open")</f>
        <v>Open</v>
      </c>
      <c r="F37" s="69"/>
    </row>
    <row r="38">
      <c r="A38" s="69" t="str">
        <f>IFERROR(__xludf.DUMMYFUNCTION("""COMPUTED_VALUE"""),"Edible Operations")</f>
        <v>Edible Operations</v>
      </c>
      <c r="B38" s="69" t="str">
        <f>IFERROR(__xludf.DUMMYFUNCTION("""COMPUTED_VALUE"""),"Execute labor schedule correction and verify effect")</f>
        <v>Execute labor schedule correction and verify effect</v>
      </c>
      <c r="C38" s="69" t="str">
        <f>IFERROR(__xludf.DUMMYFUNCTION("""COMPUTED_VALUE"""),"Emmanuel")</f>
        <v>Emmanuel</v>
      </c>
      <c r="D38" s="70">
        <f>IFERROR(__xludf.DUMMYFUNCTION("""COMPUTED_VALUE"""),46267.0)</f>
        <v>46267</v>
      </c>
      <c r="E38" s="69" t="str">
        <f>IFERROR(__xludf.DUMMYFUNCTION("""COMPUTED_VALUE"""),"In Progress")</f>
        <v>In Progress</v>
      </c>
      <c r="F38" s="69"/>
    </row>
    <row r="39">
      <c r="A39" s="69" t="str">
        <f>IFERROR(__xludf.DUMMYFUNCTION("""COMPUTED_VALUE"""),"Ahmad Personal Finance / Life")</f>
        <v>Ahmad Personal Finance / Life</v>
      </c>
      <c r="B39" s="69" t="str">
        <f>IFERROR(__xludf.DUMMYFUNCTION("""COMPUTED_VALUE"""),"Review subscriptions / recurring charges and surface cancellations or decisions needed")</f>
        <v>Review subscriptions / recurring charges and surface cancellations or decisions needed</v>
      </c>
      <c r="C39" s="69" t="str">
        <f>IFERROR(__xludf.DUMMYFUNCTION("""COMPUTED_VALUE"""),"Emmanuel")</f>
        <v>Emmanuel</v>
      </c>
      <c r="D39" s="70">
        <f>IFERROR(__xludf.DUMMYFUNCTION("""COMPUTED_VALUE"""),46267.0)</f>
        <v>46267</v>
      </c>
      <c r="E39" s="69" t="str">
        <f>IFERROR(__xludf.DUMMYFUNCTION("""COMPUTED_VALUE"""),"Open")</f>
        <v>Open</v>
      </c>
      <c r="F39" s="69"/>
    </row>
    <row r="40">
      <c r="A40" s="69" t="str">
        <f>IFERROR(__xludf.DUMMYFUNCTION("""COMPUTED_VALUE"""),"My Work")</f>
        <v>My Work</v>
      </c>
      <c r="B40" s="69" t="str">
        <f>IFERROR(__xludf.DUMMYFUNCTION("""COMPUTED_VALUE"""),"xfgnxfm")</f>
        <v>xfgnxfm</v>
      </c>
      <c r="C40" s="69" t="str">
        <f>IFERROR(__xludf.DUMMYFUNCTION("""COMPUTED_VALUE"""),"xfmfhm")</f>
        <v>xfmfhm</v>
      </c>
      <c r="D40" s="70" t="str">
        <f>IFERROR(__xludf.DUMMYFUNCTION("""COMPUTED_VALUE"""),"xmh")</f>
        <v>xmh</v>
      </c>
      <c r="E40" s="69" t="str">
        <f>IFERROR(__xludf.DUMMYFUNCTION("""COMPUTED_VALUE"""),"Open")</f>
        <v>Open</v>
      </c>
      <c r="F40" s="69"/>
    </row>
    <row r="41">
      <c r="A41" s="69" t="str">
        <f>IFERROR(__xludf.DUMMYFUNCTION("""COMPUTED_VALUE"""),"My Work")</f>
        <v>My Work</v>
      </c>
      <c r="B41" s="69" t="str">
        <f>IFERROR(__xludf.DUMMYFUNCTION("""COMPUTED_VALUE"""),"xfgnxfm")</f>
        <v>xfgnxfm</v>
      </c>
      <c r="C41" s="69" t="str">
        <f>IFERROR(__xludf.DUMMYFUNCTION("""COMPUTED_VALUE"""),"xfmfhm")</f>
        <v>xfmfhm</v>
      </c>
      <c r="D41" s="70" t="str">
        <f>IFERROR(__xludf.DUMMYFUNCTION("""COMPUTED_VALUE"""),"xmh")</f>
        <v>xmh</v>
      </c>
      <c r="E41" s="69" t="str">
        <f>IFERROR(__xludf.DUMMYFUNCTION("""COMPUTED_VALUE"""),"Open")</f>
        <v>Open</v>
      </c>
      <c r="F41" s="69"/>
    </row>
    <row r="42">
      <c r="A42" s="69" t="str">
        <f>IFERROR(__xludf.DUMMYFUNCTION("""COMPUTED_VALUE"""),"My Work")</f>
        <v>My Work</v>
      </c>
      <c r="B42" s="69" t="str">
        <f>IFERROR(__xludf.DUMMYFUNCTION("""COMPUTED_VALUE"""),"xfgnxfm")</f>
        <v>xfgnxfm</v>
      </c>
      <c r="C42" s="69" t="str">
        <f>IFERROR(__xludf.DUMMYFUNCTION("""COMPUTED_VALUE"""),"xfmfhm")</f>
        <v>xfmfhm</v>
      </c>
      <c r="D42" s="70" t="str">
        <f>IFERROR(__xludf.DUMMYFUNCTION("""COMPUTED_VALUE"""),"xmh")</f>
        <v>xmh</v>
      </c>
      <c r="E42" s="69" t="str">
        <f>IFERROR(__xludf.DUMMYFUNCTION("""COMPUTED_VALUE"""),"Open")</f>
        <v>Open</v>
      </c>
      <c r="F42" s="69"/>
    </row>
    <row r="43">
      <c r="A43" s="69" t="str">
        <f>IFERROR(__xludf.DUMMYFUNCTION("""COMPUTED_VALUE"""),"My Work")</f>
        <v>My Work</v>
      </c>
      <c r="B43" s="69" t="str">
        <f>IFERROR(__xludf.DUMMYFUNCTION("""COMPUTED_VALUE"""),"xfgnxfm")</f>
        <v>xfgnxfm</v>
      </c>
      <c r="C43" s="69" t="str">
        <f>IFERROR(__xludf.DUMMYFUNCTION("""COMPUTED_VALUE"""),"xfmfhm")</f>
        <v>xfmfhm</v>
      </c>
      <c r="D43" s="70" t="str">
        <f>IFERROR(__xludf.DUMMYFUNCTION("""COMPUTED_VALUE"""),"xmh")</f>
        <v>xmh</v>
      </c>
      <c r="E43" s="69" t="str">
        <f>IFERROR(__xludf.DUMMYFUNCTION("""COMPUTED_VALUE"""),"Open")</f>
        <v>Open</v>
      </c>
      <c r="F43" s="69"/>
    </row>
    <row r="44">
      <c r="A44" s="69" t="str">
        <f>IFERROR(__xludf.DUMMYFUNCTION("""COMPUTED_VALUE"""),"My Work")</f>
        <v>My Work</v>
      </c>
      <c r="B44" s="69" t="str">
        <f>IFERROR(__xludf.DUMMYFUNCTION("""COMPUTED_VALUE"""),"xfgnxfm")</f>
        <v>xfgnxfm</v>
      </c>
      <c r="C44" s="69" t="str">
        <f>IFERROR(__xludf.DUMMYFUNCTION("""COMPUTED_VALUE"""),"xfmfhm")</f>
        <v>xfmfhm</v>
      </c>
      <c r="D44" s="70" t="str">
        <f>IFERROR(__xludf.DUMMYFUNCTION("""COMPUTED_VALUE"""),"xmh")</f>
        <v>xmh</v>
      </c>
      <c r="E44" s="69" t="str">
        <f>IFERROR(__xludf.DUMMYFUNCTION("""COMPUTED_VALUE"""),"Open")</f>
        <v>Open</v>
      </c>
      <c r="F44" s="69"/>
    </row>
    <row r="45">
      <c r="A45" s="69"/>
      <c r="B45" s="69"/>
      <c r="C45" s="69"/>
      <c r="D45" s="70"/>
      <c r="E45" s="69"/>
      <c r="F45" s="69"/>
    </row>
    <row r="46">
      <c r="A46" s="69"/>
      <c r="B46" s="69"/>
      <c r="C46" s="69"/>
      <c r="D46" s="70"/>
      <c r="E46" s="69"/>
      <c r="F46" s="69"/>
    </row>
    <row r="47">
      <c r="A47" s="69"/>
      <c r="B47" s="69"/>
      <c r="C47" s="69"/>
      <c r="D47" s="70"/>
      <c r="E47" s="69"/>
      <c r="F47" s="69"/>
    </row>
    <row r="48">
      <c r="A48" s="69"/>
      <c r="B48" s="69"/>
      <c r="C48" s="69"/>
      <c r="D48" s="70"/>
      <c r="E48" s="69"/>
      <c r="F48" s="69"/>
    </row>
    <row r="49">
      <c r="A49" s="69"/>
      <c r="B49" s="69"/>
      <c r="C49" s="69"/>
      <c r="D49" s="69"/>
      <c r="E49" s="69"/>
      <c r="F49" s="69"/>
    </row>
    <row r="50">
      <c r="A50" s="69"/>
      <c r="B50" s="69"/>
      <c r="C50" s="69"/>
      <c r="D50" s="69"/>
      <c r="E50" s="69"/>
      <c r="F50" s="69"/>
    </row>
    <row r="51">
      <c r="A51" s="69"/>
      <c r="B51" s="69"/>
      <c r="C51" s="69"/>
      <c r="D51" s="69"/>
      <c r="E51" s="69"/>
      <c r="F51" s="69"/>
    </row>
    <row r="52">
      <c r="A52" s="69"/>
      <c r="B52" s="69"/>
      <c r="C52" s="69"/>
      <c r="D52" s="69"/>
      <c r="E52" s="69"/>
      <c r="F52" s="69"/>
    </row>
    <row r="53">
      <c r="A53" s="69"/>
      <c r="B53" s="69"/>
      <c r="C53" s="69"/>
      <c r="D53" s="69"/>
      <c r="E53" s="69"/>
      <c r="F53" s="69"/>
    </row>
    <row r="54">
      <c r="A54" s="69"/>
      <c r="B54" s="69"/>
      <c r="C54" s="69"/>
      <c r="D54" s="69"/>
      <c r="E54" s="69"/>
      <c r="F54" s="69"/>
    </row>
    <row r="55">
      <c r="A55" s="69"/>
      <c r="B55" s="69"/>
      <c r="C55" s="69"/>
      <c r="D55" s="69"/>
      <c r="E55" s="69"/>
      <c r="F55" s="69"/>
    </row>
  </sheetData>
  <mergeCells count="9">
    <mergeCell ref="A22:L22"/>
    <mergeCell ref="A35:L35"/>
    <mergeCell ref="A1:L2"/>
    <mergeCell ref="A3:L3"/>
    <mergeCell ref="A5:C7"/>
    <mergeCell ref="D5:F7"/>
    <mergeCell ref="G5:I7"/>
    <mergeCell ref="J5:L7"/>
    <mergeCell ref="A9:L9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7.29"/>
    <col customWidth="1" min="2" max="2" width="47.29"/>
    <col customWidth="1" min="3" max="12" width="17.0"/>
  </cols>
  <sheetData>
    <row r="1">
      <c r="A1" s="103" t="s">
        <v>1027</v>
      </c>
    </row>
    <row r="3">
      <c r="A3" s="104" t="s">
        <v>1029</v>
      </c>
    </row>
    <row r="5">
      <c r="A5" s="105" t="str">
        <f>"MY OPEN WORK"&amp;CHAR(10)&amp;COUNTIFS('WORK DESK — UPDATE'!D:D,"Emmanuel",'WORK DESK — UPDATE'!J:J,"&lt;&gt;Done",'WORK DESK — UPDATE'!J:J,"&lt;&gt;Dropped")</f>
        <v>MY OPEN WORK
7</v>
      </c>
      <c r="E5" s="106" t="str">
        <f>"MY CRITICAL MOVES"&amp;CHAR(10)&amp;COUNTIFS('WORK DESK — UPDATE'!D:D,"Emmanuel",'WORK DESK — UPDATE'!G:G,"Yes",'WORK DESK — UPDATE'!J:J,"&lt;&gt;Done",'WORK DESK — UPDATE'!J:J,"&lt;&gt;Dropped")</f>
        <v>MY CRITICAL MOVES
4</v>
      </c>
      <c r="I5" s="107" t="str">
        <f>"WAITING / BLOCKED"&amp;CHAR(10)&amp;(COUNTIFS('WORK DESK — UPDATE'!D:D,"Emmanuel",'WORK DESK — UPDATE'!J:J,"Waiting")+COUNTIFS('WORK DESK — UPDATE'!D:D,"Emmanuel",'WORK DESK — UPDATE'!J:J,"Blocked"))</f>
        <v>WAITING / BLOCKED
0</v>
      </c>
    </row>
    <row r="10">
      <c r="A10" s="108" t="s">
        <v>1034</v>
      </c>
    </row>
    <row r="11">
      <c r="A11" s="109" t="s">
        <v>891</v>
      </c>
      <c r="B11" s="109" t="s">
        <v>892</v>
      </c>
      <c r="C11" s="109" t="s">
        <v>1035</v>
      </c>
      <c r="D11" s="109" t="s">
        <v>1036</v>
      </c>
      <c r="E11" s="109" t="s">
        <v>70</v>
      </c>
      <c r="F11" s="109" t="s">
        <v>71</v>
      </c>
      <c r="G11" s="109" t="s">
        <v>897</v>
      </c>
      <c r="H11" s="109" t="s">
        <v>898</v>
      </c>
    </row>
    <row r="12" ht="28.5" customHeight="1">
      <c r="A12" s="69" t="str">
        <f>IFERROR(__xludf.DUMMYFUNCTION("IFERROR(FILTER(HSTACK('WORK DESK — UPDATE'!B6:B120,'WORK DESK — UPDATE'!C6:C120,'WORK DESK — UPDATE'!F6:F120,'WORK DESK — UPDATE'!G6:G120,'WORK DESK — UPDATE'!I6:I120,'WORK DESK — UPDATE'!J6:J120,'WORK DESK — UPDATE'!K6:K120,'WORK DESK — UPDATE'!Q6:Q120),"&amp;"'WORK DESK — UPDATE'!D6:D120=""Emmanuel"",'WORK DESK — UPDATE'!J6:J120&lt;&gt;""Done"",'WORK DESK — UPDATE'!J6:J120&lt;&gt;""Dropped""),""No open work"")"),"Gardenia's Fire")</f>
        <v>Gardenia's Fire</v>
      </c>
      <c r="B12" s="69" t="str">
        <f>IFERROR(__xludf.DUMMYFUNCTION("""COMPUTED_VALUE"""),"Confirm sellable offer is ready from Emmanuel's real-life process; capture only price/cost/margin or constraints needed for selling/management")</f>
        <v>Confirm sellable offer is ready from Emmanuel's real-life process; capture only price/cost/margin or constraints needed for selling/management</v>
      </c>
      <c r="C12" s="69" t="str">
        <f>IFERROR(__xludf.DUMMYFUNCTION("""COMPUTED_VALUE"""),"PUSH")</f>
        <v>PUSH</v>
      </c>
      <c r="D12" s="69" t="str">
        <f>IFERROR(__xludf.DUMMYFUNCTION("""COMPUTED_VALUE"""),"Yes")</f>
        <v>Yes</v>
      </c>
      <c r="E12" s="69">
        <f>IFERROR(__xludf.DUMMYFUNCTION("""COMPUTED_VALUE"""),46265.0)</f>
        <v>46265</v>
      </c>
      <c r="F12" s="69" t="str">
        <f>IFERROR(__xludf.DUMMYFUNCTION("""COMPUTED_VALUE"""),"In Progress")</f>
        <v>In Progress</v>
      </c>
      <c r="G12" s="69"/>
      <c r="H12" s="69" t="str">
        <f>IFERROR(__xludf.DUMMYFUNCTION("""COMPUTED_VALUE"""),"No")</f>
        <v>No</v>
      </c>
      <c r="I12" s="69"/>
      <c r="J12" s="69"/>
      <c r="K12" s="69"/>
      <c r="L12" s="69"/>
    </row>
    <row r="13" ht="28.5" customHeight="1">
      <c r="A13" s="69" t="str">
        <f>IFERROR(__xludf.DUMMYFUNCTION("""COMPUTED_VALUE"""),"Gardenia's Fire")</f>
        <v>Gardenia's Fire</v>
      </c>
      <c r="B13" s="69" t="str">
        <f>IFERROR(__xludf.DUMMYFUNCTION("""COMPUTED_VALUE"""),"Build/confirm target account list")</f>
        <v>Build/confirm target account list</v>
      </c>
      <c r="C13" s="69" t="str">
        <f>IFERROR(__xludf.DUMMYFUNCTION("""COMPUTED_VALUE"""),"PUSH")</f>
        <v>PUSH</v>
      </c>
      <c r="D13" s="69" t="str">
        <f>IFERROR(__xludf.DUMMYFUNCTION("""COMPUTED_VALUE"""),"Yes")</f>
        <v>Yes</v>
      </c>
      <c r="E13" s="69">
        <f>IFERROR(__xludf.DUMMYFUNCTION("""COMPUTED_VALUE"""),46266.0)</f>
        <v>46266</v>
      </c>
      <c r="F13" s="69" t="str">
        <f>IFERROR(__xludf.DUMMYFUNCTION("""COMPUTED_VALUE"""),"Open")</f>
        <v>Open</v>
      </c>
      <c r="G13" s="69"/>
      <c r="H13" s="69" t="str">
        <f>IFERROR(__xludf.DUMMYFUNCTION("""COMPUTED_VALUE"""),"No")</f>
        <v>No</v>
      </c>
      <c r="I13" s="69"/>
      <c r="J13" s="69"/>
      <c r="K13" s="69"/>
      <c r="L13" s="69"/>
    </row>
    <row r="14" ht="28.5" customHeight="1">
      <c r="A14" s="69" t="str">
        <f>IFERROR(__xludf.DUMMYFUNCTION("""COMPUTED_VALUE"""),"Gardenia's Fire")</f>
        <v>Gardenia's Fire</v>
      </c>
      <c r="B14" s="69" t="str">
        <f>IFERROR(__xludf.DUMMYFUNCTION("""COMPUTED_VALUE"""),"Begin outreach and schedule tastings")</f>
        <v>Begin outreach and schedule tastings</v>
      </c>
      <c r="C14" s="69" t="str">
        <f>IFERROR(__xludf.DUMMYFUNCTION("""COMPUTED_VALUE"""),"PUSH")</f>
        <v>PUSH</v>
      </c>
      <c r="D14" s="69" t="str">
        <f>IFERROR(__xludf.DUMMYFUNCTION("""COMPUTED_VALUE"""),"Yes")</f>
        <v>Yes</v>
      </c>
      <c r="E14" s="69">
        <f>IFERROR(__xludf.DUMMYFUNCTION("""COMPUTED_VALUE"""),46269.0)</f>
        <v>46269</v>
      </c>
      <c r="F14" s="69" t="str">
        <f>IFERROR(__xludf.DUMMYFUNCTION("""COMPUTED_VALUE"""),"Open")</f>
        <v>Open</v>
      </c>
      <c r="G14" s="69"/>
      <c r="H14" s="69" t="str">
        <f>IFERROR(__xludf.DUMMYFUNCTION("""COMPUTED_VALUE"""),"No")</f>
        <v>No</v>
      </c>
      <c r="I14" s="69"/>
      <c r="J14" s="69"/>
      <c r="K14" s="69"/>
      <c r="L14" s="69"/>
    </row>
    <row r="15" ht="28.5" customHeight="1">
      <c r="A15" s="69" t="str">
        <f>IFERROR(__xludf.DUMMYFUNCTION("""COMPUTED_VALUE"""),"Edible Operations")</f>
        <v>Edible Operations</v>
      </c>
      <c r="B15" s="69" t="str">
        <f>IFERROR(__xludf.DUMMYFUNCTION("""COMPUTED_VALUE"""),"Execute labor schedule correction and verify effect")</f>
        <v>Execute labor schedule correction and verify effect</v>
      </c>
      <c r="C15" s="69" t="str">
        <f>IFERROR(__xludf.DUMMYFUNCTION("""COMPUTED_VALUE"""),"MAINTAIN")</f>
        <v>MAINTAIN</v>
      </c>
      <c r="D15" s="69" t="str">
        <f>IFERROR(__xludf.DUMMYFUNCTION("""COMPUTED_VALUE"""),"Yes")</f>
        <v>Yes</v>
      </c>
      <c r="E15" s="69">
        <f>IFERROR(__xludf.DUMMYFUNCTION("""COMPUTED_VALUE"""),46267.0)</f>
        <v>46267</v>
      </c>
      <c r="F15" s="69" t="str">
        <f>IFERROR(__xludf.DUMMYFUNCTION("""COMPUTED_VALUE"""),"In Progress")</f>
        <v>In Progress</v>
      </c>
      <c r="G15" s="69"/>
      <c r="H15" s="69" t="str">
        <f>IFERROR(__xludf.DUMMYFUNCTION("""COMPUTED_VALUE"""),"Yes")</f>
        <v>Yes</v>
      </c>
      <c r="I15" s="69"/>
      <c r="J15" s="69"/>
      <c r="K15" s="69"/>
      <c r="L15" s="69"/>
    </row>
    <row r="16" ht="28.5" customHeight="1">
      <c r="A16" s="69" t="str">
        <f>IFERROR(__xludf.DUMMYFUNCTION("""COMPUTED_VALUE"""),"Podcast / Legacy")</f>
        <v>Podcast / Legacy</v>
      </c>
      <c r="B16" s="69" t="str">
        <f>IFERROR(__xludf.DUMMYFUNCTION("""COMPUTED_VALUE"""),"Move current video/editor follow-up to next executable step")</f>
        <v>Move current video/editor follow-up to next executable step</v>
      </c>
      <c r="C16" s="69" t="str">
        <f>IFERROR(__xludf.DUMMYFUNCTION("""COMPUTED_VALUE"""),"PUSH")</f>
        <v>PUSH</v>
      </c>
      <c r="D16" s="69" t="str">
        <f>IFERROR(__xludf.DUMMYFUNCTION("""COMPUTED_VALUE"""),"HOLD / TEST DATA")</f>
        <v>HOLD / TEST DATA</v>
      </c>
      <c r="E16" s="69">
        <f>IFERROR(__xludf.DUMMYFUNCTION("""COMPUTED_VALUE"""),46266.0)</f>
        <v>46266</v>
      </c>
      <c r="F16" s="69" t="str">
        <f>IFERROR(__xludf.DUMMYFUNCTION("""COMPUTED_VALUE"""),"Open")</f>
        <v>Open</v>
      </c>
      <c r="G16" s="69" t="str">
        <f>IFERROR(__xludf.DUMMYFUNCTION("""COMPUTED_VALUE"""),"Ahmad")</f>
        <v>Ahmad</v>
      </c>
      <c r="H16" s="69" t="str">
        <f>IFERROR(__xludf.DUMMYFUNCTION("""COMPUTED_VALUE"""),"No")</f>
        <v>No</v>
      </c>
      <c r="I16" s="69"/>
      <c r="J16" s="69"/>
      <c r="K16" s="69"/>
      <c r="L16" s="69"/>
    </row>
    <row r="17" ht="28.5" customHeight="1">
      <c r="A17" s="69" t="str">
        <f>IFERROR(__xludf.DUMMYFUNCTION("""COMPUTED_VALUE"""),"Ahmad Personal Finance / Life")</f>
        <v>Ahmad Personal Finance / Life</v>
      </c>
      <c r="B17" s="69" t="str">
        <f>IFERROR(__xludf.DUMMYFUNCTION("""COMPUTED_VALUE"""),"Review subscriptions / recurring charges and surface cancellations or decisions needed")</f>
        <v>Review subscriptions / recurring charges and surface cancellations or decisions needed</v>
      </c>
      <c r="C17" s="69" t="str">
        <f>IFERROR(__xludf.DUMMYFUNCTION("""COMPUTED_VALUE"""),"TEST")</f>
        <v>TEST</v>
      </c>
      <c r="D17" s="69" t="str">
        <f>IFERROR(__xludf.DUMMYFUNCTION("""COMPUTED_VALUE"""),"HOLD / TEST DATA")</f>
        <v>HOLD / TEST DATA</v>
      </c>
      <c r="E17" s="69">
        <f>IFERROR(__xludf.DUMMYFUNCTION("""COMPUTED_VALUE"""),46267.0)</f>
        <v>46267</v>
      </c>
      <c r="F17" s="69" t="str">
        <f>IFERROR(__xludf.DUMMYFUNCTION("""COMPUTED_VALUE"""),"Open")</f>
        <v>Open</v>
      </c>
      <c r="G17" s="69"/>
      <c r="H17" s="69" t="str">
        <f>IFERROR(__xludf.DUMMYFUNCTION("""COMPUTED_VALUE"""),"No")</f>
        <v>No</v>
      </c>
      <c r="I17" s="69"/>
      <c r="J17" s="69"/>
      <c r="K17" s="69"/>
      <c r="L17" s="69"/>
    </row>
    <row r="18">
      <c r="A18" s="69" t="str">
        <f>IFERROR(__xludf.DUMMYFUNCTION("""COMPUTED_VALUE"""),"People / Systems")</f>
        <v>People / Systems</v>
      </c>
      <c r="B18" s="69" t="str">
        <f>IFERROR(__xludf.DUMMYFUNCTION("""COMPUTED_VALUE"""),"Operate Monday launch from HQ role views; confirm owners, dates, blockers and exceptions are current")</f>
        <v>Operate Monday launch from HQ role views; confirm owners, dates, blockers and exceptions are current</v>
      </c>
      <c r="C18" s="69" t="str">
        <f>IFERROR(__xludf.DUMMYFUNCTION("""COMPUTED_VALUE"""),"TEST")</f>
        <v>TEST</v>
      </c>
      <c r="D18" s="69" t="str">
        <f>IFERROR(__xludf.DUMMYFUNCTION("""COMPUTED_VALUE"""),"HOLD / TEST DATA")</f>
        <v>HOLD / TEST DATA</v>
      </c>
      <c r="E18" s="69">
        <f>IFERROR(__xludf.DUMMYFUNCTION("""COMPUTED_VALUE"""),46265.0)</f>
        <v>46265</v>
      </c>
      <c r="F18" s="69" t="str">
        <f>IFERROR(__xludf.DUMMYFUNCTION("""COMPUTED_VALUE"""),"Open")</f>
        <v>Open</v>
      </c>
      <c r="G18" s="69"/>
      <c r="H18" s="69" t="str">
        <f>IFERROR(__xludf.DUMMYFUNCTION("""COMPUTED_VALUE"""),"No")</f>
        <v>No</v>
      </c>
      <c r="I18" s="69"/>
      <c r="J18" s="69"/>
      <c r="K18" s="69"/>
      <c r="L18" s="69"/>
    </row>
    <row r="19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</row>
    <row r="20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</row>
    <row r="2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</row>
    <row r="22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</row>
    <row r="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</row>
    <row r="24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</row>
    <row r="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</row>
    <row r="26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</row>
    <row r="27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</row>
    <row r="28">
      <c r="A28" s="110" t="s">
        <v>1050</v>
      </c>
    </row>
    <row r="29">
      <c r="A29" s="109" t="s">
        <v>903</v>
      </c>
      <c r="B29" s="109" t="s">
        <v>904</v>
      </c>
      <c r="C29" s="109" t="s">
        <v>1032</v>
      </c>
      <c r="D29" s="109" t="s">
        <v>71</v>
      </c>
      <c r="E29" s="109" t="s">
        <v>905</v>
      </c>
      <c r="F29" s="111"/>
      <c r="G29" s="69"/>
      <c r="H29" s="69"/>
      <c r="I29" s="69"/>
      <c r="J29" s="69"/>
      <c r="K29" s="69"/>
      <c r="L29" s="69"/>
    </row>
    <row r="30" ht="31.5" customHeight="1">
      <c r="A30" s="69" t="str">
        <f>IFERROR(__xludf.DUMMYFUNCTION("IFERROR(FILTER(HSTACK('WEEK CLOSE — UPDATE'!B2:B120,'WEEK CLOSE — UPDATE'!C2:C120,'WEEK CLOSE — UPDATE'!E2:E120,'WEEK CLOSE — UPDATE'!G2:G120,'WEEK CLOSE — UPDATE'!I2:I120),'WEEK CLOSE — UPDATE'!D2:D120=""Emmanuel""),""No controls assigned"")"),"Edible Operations")</f>
        <v>Edible Operations</v>
      </c>
      <c r="B30" s="69" t="str">
        <f>IFERROR(__xludf.DUMMYFUNCTION("""COMPUTED_VALUE"""),"Week Close completed and exceptions identified")</f>
        <v>Week Close completed and exceptions identified</v>
      </c>
      <c r="C30" s="69" t="str">
        <f>IFERROR(__xludf.DUMMYFUNCTION("""COMPUTED_VALUE"""),"Weekly")</f>
        <v>Weekly</v>
      </c>
      <c r="D30" s="69" t="str">
        <f>IFERROR(__xludf.DUMMYFUNCTION("""COMPUTED_VALUE"""),"Open")</f>
        <v>Open</v>
      </c>
      <c r="E30" s="69" t="str">
        <f>IFERROR(__xludf.DUMMYFUNCTION("""COMPUTED_VALUE"""),"No")</f>
        <v>No</v>
      </c>
      <c r="F30" s="69"/>
      <c r="G30" s="69"/>
      <c r="H30" s="69"/>
      <c r="I30" s="69"/>
      <c r="J30" s="69"/>
      <c r="K30" s="69"/>
      <c r="L30" s="69"/>
    </row>
    <row r="31" ht="31.5" customHeight="1">
      <c r="A31" s="69" t="str">
        <f>IFERROR(__xludf.DUMMYFUNCTION("""COMPUTED_VALUE"""),"People / Systems")</f>
        <v>People / Systems</v>
      </c>
      <c r="B31" s="69" t="str">
        <f>IFERROR(__xludf.DUMMYFUNCTION("""COMPUTED_VALUE"""),"Critical Moves reviewed; overdue/blocked escalated")</f>
        <v>Critical Moves reviewed; overdue/blocked escalated</v>
      </c>
      <c r="C31" s="69" t="str">
        <f>IFERROR(__xludf.DUMMYFUNCTION("""COMPUTED_VALUE"""),"Weekly")</f>
        <v>Weekly</v>
      </c>
      <c r="D31" s="69" t="str">
        <f>IFERROR(__xludf.DUMMYFUNCTION("""COMPUTED_VALUE"""),"Open")</f>
        <v>Open</v>
      </c>
      <c r="E31" s="69" t="str">
        <f>IFERROR(__xludf.DUMMYFUNCTION("""COMPUTED_VALUE"""),"No")</f>
        <v>No</v>
      </c>
      <c r="F31" s="69"/>
      <c r="G31" s="69"/>
      <c r="H31" s="69"/>
      <c r="I31" s="69"/>
      <c r="J31" s="69"/>
      <c r="K31" s="69"/>
      <c r="L31" s="69"/>
    </row>
    <row r="32" ht="31.5" customHeight="1">
      <c r="A32" s="69" t="str">
        <f>IFERROR(__xludf.DUMMYFUNCTION("""COMPUTED_VALUE"""),"Ahmad Personal Finance / Life")</f>
        <v>Ahmad Personal Finance / Life</v>
      </c>
      <c r="B32" s="69" t="str">
        <f>IFERROR(__xludf.DUMMYFUNCTION("""COMPUTED_VALUE"""),"Personal-finance exceptions / deadlines reviewed and escalated to Ahmad")</f>
        <v>Personal-finance exceptions / deadlines reviewed and escalated to Ahmad</v>
      </c>
      <c r="C32" s="69" t="str">
        <f>IFERROR(__xludf.DUMMYFUNCTION("""COMPUTED_VALUE"""),"Weekly")</f>
        <v>Weekly</v>
      </c>
      <c r="D32" s="69" t="str">
        <f>IFERROR(__xludf.DUMMYFUNCTION("""COMPUTED_VALUE"""),"Open")</f>
        <v>Open</v>
      </c>
      <c r="E32" s="69" t="str">
        <f>IFERROR(__xludf.DUMMYFUNCTION("""COMPUTED_VALUE"""),"No")</f>
        <v>No</v>
      </c>
      <c r="F32" s="69"/>
      <c r="G32" s="69"/>
      <c r="H32" s="69"/>
      <c r="I32" s="69"/>
      <c r="J32" s="69"/>
      <c r="K32" s="69"/>
      <c r="L32" s="69"/>
    </row>
    <row r="33" ht="31.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</row>
    <row r="34" ht="31.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</row>
  </sheetData>
  <mergeCells count="7">
    <mergeCell ref="A1:L2"/>
    <mergeCell ref="A3:L3"/>
    <mergeCell ref="A5:D7"/>
    <mergeCell ref="E5:H7"/>
    <mergeCell ref="I5:L7"/>
    <mergeCell ref="A10:L10"/>
    <mergeCell ref="A28:L28"/>
  </mergeCells>
  <conditionalFormatting sqref="F12:F27">
    <cfRule type="cellIs" dxfId="2" priority="1" stopIfTrue="1" operator="equal">
      <formula>"Blocked"</formula>
    </cfRule>
  </conditionalFormatting>
  <conditionalFormatting sqref="F12:F27">
    <cfRule type="cellIs" dxfId="3" priority="2" stopIfTrue="1" operator="equal">
      <formula>"Waiting"</formula>
    </cfRule>
  </conditionalFormatting>
  <conditionalFormatting sqref="H12:H27">
    <cfRule type="cellIs" dxfId="2" priority="3" stopIfTrue="1" operator="equal">
      <formula>"Yes"</formula>
    </cfRule>
  </conditionalFormatting>
  <conditionalFormatting sqref="E30:E45">
    <cfRule type="cellIs" dxfId="2" priority="4" stopIfTrue="1" operator="equal">
      <formula>"Yes"</formula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7.29"/>
    <col customWidth="1" min="2" max="6" width="19.43"/>
    <col customWidth="1" min="7" max="12" width="17.0"/>
  </cols>
  <sheetData>
    <row r="1">
      <c r="A1" s="103" t="s">
        <v>1028</v>
      </c>
    </row>
    <row r="3">
      <c r="A3" s="104" t="s">
        <v>1030</v>
      </c>
    </row>
    <row r="5">
      <c r="A5" s="105" t="str">
        <f>"MY OPEN WORK"&amp;CHAR(10)&amp;COUNTIFS('WORK DESK — UPDATE'!D:D,"Moises",'WORK DESK — UPDATE'!J:J,"&lt;&gt;Done",'WORK DESK — UPDATE'!J:J,"&lt;&gt;Dropped")</f>
        <v>MY OPEN WORK
3</v>
      </c>
      <c r="E5" s="106" t="str">
        <f>"FINANCE CONTROLS OPEN"&amp;CHAR(10)&amp;COUNTIFS('WEEK CLOSE — UPDATE'!D:D,"Moises",'WEEK CLOSE — UPDATE'!G:G,"&lt;&gt;Done",'WEEK CLOSE — UPDATE'!G:G,"&lt;&gt;N/A")</f>
        <v>FINANCE CONTROLS OPEN
6</v>
      </c>
      <c r="I5" s="107" t="str">
        <f>"CONTROL EXCEPTIONS"&amp;CHAR(10)&amp;COUNTIFS('WEEK CLOSE — UPDATE'!D:D,"Moises",'WEEK CLOSE — UPDATE'!I:I,"Yes")</f>
        <v>CONTROL EXCEPTIONS
0</v>
      </c>
    </row>
    <row r="10">
      <c r="A10" s="108" t="s">
        <v>1031</v>
      </c>
    </row>
    <row r="11">
      <c r="A11" s="109" t="s">
        <v>904</v>
      </c>
      <c r="B11" s="109" t="s">
        <v>1032</v>
      </c>
      <c r="C11" s="109" t="s">
        <v>1033</v>
      </c>
      <c r="D11" s="109" t="s">
        <v>71</v>
      </c>
      <c r="E11" s="109" t="s">
        <v>905</v>
      </c>
      <c r="F11" s="109" t="s">
        <v>967</v>
      </c>
      <c r="G11" s="109"/>
    </row>
    <row r="12" ht="31.5" customHeight="1">
      <c r="A12" s="69" t="str">
        <f>IFERROR(__xludf.DUMMYFUNCTION("IFERROR(FILTER(HSTACK('WEEK CLOSE — UPDATE'!C2:C120,'WEEK CLOSE — UPDATE'!E2:E120,'WEEK CLOSE — UPDATE'!F2:F120,'WEEK CLOSE — UPDATE'!G2:G120,'WEEK CLOSE — UPDATE'!I2:I120,'WEEK CLOSE — UPDATE'!J2:J120),'WEEK CLOSE — UPDATE'!D2:D120=""Moises""),""No finan"&amp;"ce controls assigned"")"),"Books current / posted through agreed close date")</f>
        <v>Books current / posted through agreed close date</v>
      </c>
      <c r="B12" s="69" t="str">
        <f>IFERROR(__xludf.DUMMYFUNCTION("""COMPUTED_VALUE"""),"Weekly")</f>
        <v>Weekly</v>
      </c>
      <c r="C12" s="69">
        <f>IFERROR(__xludf.DUMMYFUNCTION("""COMPUTED_VALUE"""),46269.0)</f>
        <v>46269</v>
      </c>
      <c r="D12" s="69" t="str">
        <f>IFERROR(__xludf.DUMMYFUNCTION("""COMPUTED_VALUE"""),"Open")</f>
        <v>Open</v>
      </c>
      <c r="E12" s="69" t="str">
        <f>IFERROR(__xludf.DUMMYFUNCTION("""COMPUTED_VALUE"""),"No")</f>
        <v>No</v>
      </c>
      <c r="F12" s="69"/>
      <c r="G12" s="69"/>
      <c r="H12" s="69"/>
      <c r="I12" s="69"/>
      <c r="J12" s="69"/>
      <c r="K12" s="69"/>
      <c r="L12" s="69"/>
    </row>
    <row r="13" ht="31.5" customHeight="1">
      <c r="A13" s="69" t="str">
        <f>IFERROR(__xludf.DUMMYFUNCTION("""COMPUTED_VALUE"""),"Bank and credit-card reconciliations current")</f>
        <v>Bank and credit-card reconciliations current</v>
      </c>
      <c r="B13" s="69" t="str">
        <f>IFERROR(__xludf.DUMMYFUNCTION("""COMPUTED_VALUE"""),"Weekly")</f>
        <v>Weekly</v>
      </c>
      <c r="C13" s="69">
        <f>IFERROR(__xludf.DUMMYFUNCTION("""COMPUTED_VALUE"""),46269.0)</f>
        <v>46269</v>
      </c>
      <c r="D13" s="69" t="str">
        <f>IFERROR(__xludf.DUMMYFUNCTION("""COMPUTED_VALUE"""),"Open")</f>
        <v>Open</v>
      </c>
      <c r="E13" s="69" t="str">
        <f>IFERROR(__xludf.DUMMYFUNCTION("""COMPUTED_VALUE"""),"No")</f>
        <v>No</v>
      </c>
      <c r="F13" s="69"/>
      <c r="G13" s="69"/>
      <c r="H13" s="69"/>
      <c r="I13" s="69"/>
      <c r="J13" s="69"/>
      <c r="K13" s="69"/>
      <c r="L13" s="69"/>
    </row>
    <row r="14" ht="31.5" customHeight="1">
      <c r="A14" s="69" t="str">
        <f>IFERROR(__xludf.DUMMYFUNCTION("""COMPUTED_VALUE"""),"Critical A/P and A/R reviewed")</f>
        <v>Critical A/P and A/R reviewed</v>
      </c>
      <c r="B14" s="69" t="str">
        <f>IFERROR(__xludf.DUMMYFUNCTION("""COMPUTED_VALUE"""),"Weekly")</f>
        <v>Weekly</v>
      </c>
      <c r="C14" s="69">
        <f>IFERROR(__xludf.DUMMYFUNCTION("""COMPUTED_VALUE"""),46269.0)</f>
        <v>46269</v>
      </c>
      <c r="D14" s="69" t="str">
        <f>IFERROR(__xludf.DUMMYFUNCTION("""COMPUTED_VALUE"""),"Open")</f>
        <v>Open</v>
      </c>
      <c r="E14" s="69" t="str">
        <f>IFERROR(__xludf.DUMMYFUNCTION("""COMPUTED_VALUE"""),"No")</f>
        <v>No</v>
      </c>
      <c r="F14" s="69"/>
      <c r="G14" s="69"/>
      <c r="H14" s="69"/>
      <c r="I14" s="69"/>
      <c r="J14" s="69"/>
      <c r="K14" s="69"/>
      <c r="L14" s="69"/>
    </row>
    <row r="15" ht="31.5" customHeight="1">
      <c r="A15" s="69" t="str">
        <f>IFERROR(__xludf.DUMMYFUNCTION("""COMPUTED_VALUE"""),"Evidence / supporting documents confirmed")</f>
        <v>Evidence / supporting documents confirmed</v>
      </c>
      <c r="B15" s="69" t="str">
        <f>IFERROR(__xludf.DUMMYFUNCTION("""COMPUTED_VALUE"""),"Weekly")</f>
        <v>Weekly</v>
      </c>
      <c r="C15" s="69">
        <f>IFERROR(__xludf.DUMMYFUNCTION("""COMPUTED_VALUE"""),46269.0)</f>
        <v>46269</v>
      </c>
      <c r="D15" s="69" t="str">
        <f>IFERROR(__xludf.DUMMYFUNCTION("""COMPUTED_VALUE"""),"Open")</f>
        <v>Open</v>
      </c>
      <c r="E15" s="69" t="str">
        <f>IFERROR(__xludf.DUMMYFUNCTION("""COMPUTED_VALUE"""),"No")</f>
        <v>No</v>
      </c>
      <c r="F15" s="69"/>
      <c r="G15" s="69"/>
      <c r="H15" s="69"/>
      <c r="I15" s="69"/>
      <c r="J15" s="69"/>
      <c r="K15" s="69"/>
      <c r="L15" s="69"/>
    </row>
    <row r="16" ht="31.5" customHeight="1">
      <c r="A16" s="69" t="str">
        <f>IFERROR(__xludf.DUMMYFUNCTION("""COMPUTED_VALUE"""),"Upcoming personal bills/obligations reviewed")</f>
        <v>Upcoming personal bills/obligations reviewed</v>
      </c>
      <c r="B16" s="69" t="str">
        <f>IFERROR(__xludf.DUMMYFUNCTION("""COMPUTED_VALUE"""),"Weekly")</f>
        <v>Weekly</v>
      </c>
      <c r="C16" s="69">
        <f>IFERROR(__xludf.DUMMYFUNCTION("""COMPUTED_VALUE"""),46269.0)</f>
        <v>46269</v>
      </c>
      <c r="D16" s="69" t="str">
        <f>IFERROR(__xludf.DUMMYFUNCTION("""COMPUTED_VALUE"""),"Open")</f>
        <v>Open</v>
      </c>
      <c r="E16" s="69" t="str">
        <f>IFERROR(__xludf.DUMMYFUNCTION("""COMPUTED_VALUE"""),"No")</f>
        <v>No</v>
      </c>
      <c r="F16" s="69"/>
      <c r="G16" s="69"/>
      <c r="H16" s="69"/>
      <c r="I16" s="69"/>
      <c r="J16" s="69"/>
      <c r="K16" s="69"/>
      <c r="L16" s="69"/>
    </row>
    <row r="17">
      <c r="A17" s="69" t="str">
        <f>IFERROR(__xludf.DUMMYFUNCTION("""COMPUTED_VALUE"""),"Money-in / money-out and material exceptions reviewed")</f>
        <v>Money-in / money-out and material exceptions reviewed</v>
      </c>
      <c r="B17" s="69" t="str">
        <f>IFERROR(__xludf.DUMMYFUNCTION("""COMPUTED_VALUE"""),"Weekly")</f>
        <v>Weekly</v>
      </c>
      <c r="C17" s="69">
        <f>IFERROR(__xludf.DUMMYFUNCTION("""COMPUTED_VALUE"""),46269.0)</f>
        <v>46269</v>
      </c>
      <c r="D17" s="69" t="str">
        <f>IFERROR(__xludf.DUMMYFUNCTION("""COMPUTED_VALUE"""),"Open")</f>
        <v>Open</v>
      </c>
      <c r="E17" s="69" t="str">
        <f>IFERROR(__xludf.DUMMYFUNCTION("""COMPUTED_VALUE"""),"No")</f>
        <v>No</v>
      </c>
      <c r="F17" s="69"/>
      <c r="G17" s="69"/>
      <c r="H17" s="69"/>
      <c r="I17" s="69"/>
      <c r="J17" s="69"/>
      <c r="K17" s="69"/>
      <c r="L17" s="69"/>
    </row>
    <row r="18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</row>
    <row r="19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</row>
    <row r="20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</row>
    <row r="2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</row>
    <row r="22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</row>
    <row r="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</row>
    <row r="24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</row>
    <row r="25">
      <c r="A25" s="110" t="s">
        <v>1037</v>
      </c>
    </row>
    <row r="26">
      <c r="A26" s="109" t="s">
        <v>891</v>
      </c>
      <c r="B26" s="109" t="s">
        <v>892</v>
      </c>
      <c r="C26" s="109" t="s">
        <v>1035</v>
      </c>
      <c r="D26" s="109" t="s">
        <v>70</v>
      </c>
      <c r="E26" s="109" t="s">
        <v>71</v>
      </c>
      <c r="F26" s="109" t="s">
        <v>897</v>
      </c>
      <c r="G26" s="111"/>
      <c r="H26" s="69"/>
      <c r="I26" s="69"/>
      <c r="J26" s="69"/>
      <c r="K26" s="69"/>
      <c r="L26" s="69"/>
    </row>
    <row r="27" ht="31.5" customHeight="1">
      <c r="A27" s="69" t="str">
        <f>IFERROR(__xludf.DUMMYFUNCTION("IFERROR(FILTER(HSTACK('WORK DESK — UPDATE'!B6:B120,'WORK DESK — UPDATE'!C6:C120,'WORK DESK — UPDATE'!F6:F120,'WORK DESK — UPDATE'!I6:I120,'WORK DESK — UPDATE'!J6:J120,'WORK DESK — UPDATE'!K6:K120),'WORK DESK — UPDATE'!D6:D120=""Moises"",'WORK DESK — UPDAT"&amp;"E'!J6:J120&lt;&gt;""Done"",'WORK DESK — UPDATE'!J6:J120&lt;&gt;""Dropped""),""No open work"")"),"Finance &amp; Office")</f>
        <v>Finance &amp; Office</v>
      </c>
      <c r="B27" s="69" t="str">
        <f>IFERROR(__xludf.DUMMYFUNCTION("""COMPUTED_VALUE"""),"Confirm books/reconciliations/evidence current for weekly close")</f>
        <v>Confirm books/reconciliations/evidence current for weekly close</v>
      </c>
      <c r="C27" s="69" t="str">
        <f>IFERROR(__xludf.DUMMYFUNCTION("""COMPUTED_VALUE"""),"PUSH")</f>
        <v>PUSH</v>
      </c>
      <c r="D27" s="69">
        <f>IFERROR(__xludf.DUMMYFUNCTION("""COMPUTED_VALUE"""),46269.0)</f>
        <v>46269</v>
      </c>
      <c r="E27" s="69" t="str">
        <f>IFERROR(__xludf.DUMMYFUNCTION("""COMPUTED_VALUE"""),"Open")</f>
        <v>Open</v>
      </c>
      <c r="F27" s="69"/>
      <c r="G27" s="69"/>
      <c r="H27" s="69"/>
      <c r="I27" s="69"/>
      <c r="J27" s="69"/>
      <c r="K27" s="69"/>
      <c r="L27" s="69"/>
    </row>
    <row r="28" ht="31.5" customHeight="1">
      <c r="A28" s="69" t="str">
        <f>IFERROR(__xludf.DUMMYFUNCTION("""COMPUTED_VALUE"""),"Finance &amp; Office")</f>
        <v>Finance &amp; Office</v>
      </c>
      <c r="B28" s="69" t="str">
        <f>IFERROR(__xludf.DUMMYFUNCTION("""COMPUTED_VALUE"""),"Review open creditors / obligations with Emmanuel")</f>
        <v>Review open creditors / obligations with Emmanuel</v>
      </c>
      <c r="C28" s="69" t="str">
        <f>IFERROR(__xludf.DUMMYFUNCTION("""COMPUTED_VALUE"""),"PUSH")</f>
        <v>PUSH</v>
      </c>
      <c r="D28" s="69">
        <f>IFERROR(__xludf.DUMMYFUNCTION("""COMPUTED_VALUE"""),46268.0)</f>
        <v>46268</v>
      </c>
      <c r="E28" s="69" t="str">
        <f>IFERROR(__xludf.DUMMYFUNCTION("""COMPUTED_VALUE"""),"Open")</f>
        <v>Open</v>
      </c>
      <c r="F28" s="69" t="str">
        <f>IFERROR(__xludf.DUMMYFUNCTION("""COMPUTED_VALUE"""),"Emmanuel")</f>
        <v>Emmanuel</v>
      </c>
      <c r="G28" s="69"/>
      <c r="H28" s="69"/>
      <c r="I28" s="69"/>
      <c r="J28" s="69"/>
      <c r="K28" s="69"/>
      <c r="L28" s="69"/>
    </row>
    <row r="29" ht="31.5" customHeight="1">
      <c r="A29" s="69" t="str">
        <f>IFERROR(__xludf.DUMMYFUNCTION("""COMPUTED_VALUE"""),"Ahmad Personal Finance / Life")</f>
        <v>Ahmad Personal Finance / Life</v>
      </c>
      <c r="B29" s="69" t="str">
        <f>IFERROR(__xludf.DUMMYFUNCTION("""COMPUTED_VALUE"""),"Establish lightweight personal bills / obligations source map and weekly control")</f>
        <v>Establish lightweight personal bills / obligations source map and weekly control</v>
      </c>
      <c r="C29" s="69" t="str">
        <f>IFERROR(__xludf.DUMMYFUNCTION("""COMPUTED_VALUE"""),"PUSH")</f>
        <v>PUSH</v>
      </c>
      <c r="D29" s="69">
        <f>IFERROR(__xludf.DUMMYFUNCTION("""COMPUTED_VALUE"""),46269.0)</f>
        <v>46269</v>
      </c>
      <c r="E29" s="69" t="str">
        <f>IFERROR(__xludf.DUMMYFUNCTION("""COMPUTED_VALUE"""),"Open")</f>
        <v>Open</v>
      </c>
      <c r="F29" s="69"/>
      <c r="G29" s="69"/>
      <c r="H29" s="69"/>
      <c r="I29" s="69"/>
      <c r="J29" s="69"/>
      <c r="K29" s="69"/>
      <c r="L29" s="69"/>
    </row>
    <row r="30" ht="31.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</row>
    <row r="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</row>
    <row r="32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</row>
    <row r="3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</row>
    <row r="34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</row>
  </sheetData>
  <mergeCells count="7">
    <mergeCell ref="A1:L2"/>
    <mergeCell ref="A3:L3"/>
    <mergeCell ref="A5:D7"/>
    <mergeCell ref="E5:H7"/>
    <mergeCell ref="I5:L7"/>
    <mergeCell ref="A10:L10"/>
    <mergeCell ref="A25:L25"/>
  </mergeCells>
  <conditionalFormatting sqref="E12:E24">
    <cfRule type="cellIs" dxfId="2" priority="1" stopIfTrue="1" operator="equal">
      <formula>"Yes"</formula>
    </cfRule>
  </conditionalFormatting>
  <conditionalFormatting sqref="E27:E45">
    <cfRule type="cellIs" dxfId="2" priority="2" stopIfTrue="1" operator="equal">
      <formula>"Blocked"</formula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5.14"/>
    <col customWidth="1" min="2" max="3" width="27.29"/>
    <col customWidth="1" min="4" max="4" width="15.14"/>
    <col customWidth="1" hidden="1" min="5" max="5" width="15.14"/>
    <col customWidth="1" min="6" max="12" width="15.14"/>
    <col customWidth="1" min="13" max="14" width="27.29"/>
    <col customWidth="1" hidden="1" min="15" max="16" width="15.14"/>
    <col customWidth="1" min="17" max="18" width="15.14"/>
    <col customWidth="1" min="19" max="19" width="30.14"/>
    <col customWidth="1" min="20" max="21" width="15.14"/>
    <col customWidth="1" min="22" max="26" width="8.71"/>
  </cols>
  <sheetData>
    <row r="1" ht="18.0" customHeight="1">
      <c r="A1" s="112" t="s">
        <v>1038</v>
      </c>
    </row>
    <row r="2" ht="18.0" customHeight="1"/>
    <row r="3" ht="18.0" customHeight="1">
      <c r="A3" s="113"/>
    </row>
    <row r="4" ht="18.0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ht="18.0" customHeight="1">
      <c r="A5" s="96" t="s">
        <v>1039</v>
      </c>
      <c r="B5" s="96" t="s">
        <v>1040</v>
      </c>
      <c r="C5" s="96" t="s">
        <v>1041</v>
      </c>
      <c r="D5" s="96" t="s">
        <v>10</v>
      </c>
      <c r="E5" s="96" t="s">
        <v>505</v>
      </c>
      <c r="F5" s="96" t="s">
        <v>313</v>
      </c>
      <c r="G5" s="96" t="s">
        <v>6</v>
      </c>
      <c r="H5" s="96" t="s">
        <v>1042</v>
      </c>
      <c r="I5" s="96" t="s">
        <v>1043</v>
      </c>
      <c r="J5" s="96" t="s">
        <v>12</v>
      </c>
      <c r="K5" s="96" t="s">
        <v>1044</v>
      </c>
      <c r="L5" s="96" t="s">
        <v>1045</v>
      </c>
      <c r="M5" s="96" t="s">
        <v>1046</v>
      </c>
      <c r="N5" s="96" t="s">
        <v>726</v>
      </c>
      <c r="O5" s="96" t="s">
        <v>1047</v>
      </c>
      <c r="P5" s="96" t="s">
        <v>442</v>
      </c>
      <c r="Q5" s="96" t="s">
        <v>1048</v>
      </c>
      <c r="R5" s="96" t="s">
        <v>1049</v>
      </c>
      <c r="S5" s="96" t="s">
        <v>1053</v>
      </c>
      <c r="T5" s="96" t="s">
        <v>1054</v>
      </c>
      <c r="U5" s="96" t="s">
        <v>1055</v>
      </c>
    </row>
    <row r="6" ht="31.5" customHeight="1">
      <c r="A6" s="59" t="s">
        <v>1056</v>
      </c>
      <c r="B6" s="59" t="s">
        <v>146</v>
      </c>
      <c r="C6" s="114" t="s">
        <v>1057</v>
      </c>
      <c r="D6" s="59" t="s">
        <v>99</v>
      </c>
      <c r="E6" s="114" t="s">
        <v>1058</v>
      </c>
      <c r="F6" s="114" t="s">
        <v>875</v>
      </c>
      <c r="G6" s="114" t="s">
        <v>334</v>
      </c>
      <c r="H6" s="59" t="s">
        <v>334</v>
      </c>
      <c r="I6" s="115">
        <v>46265.0</v>
      </c>
      <c r="J6" s="59" t="s">
        <v>518</v>
      </c>
      <c r="K6" s="59"/>
      <c r="L6" s="59" t="s">
        <v>344</v>
      </c>
      <c r="M6" s="59"/>
      <c r="N6" s="59" t="s">
        <v>1059</v>
      </c>
      <c r="O6" s="116" t="s">
        <v>1060</v>
      </c>
      <c r="P6" s="116" t="s">
        <v>1060</v>
      </c>
      <c r="Q6" s="114" t="s">
        <v>344</v>
      </c>
      <c r="R6" s="116" t="s">
        <v>1061</v>
      </c>
      <c r="S6" s="114" t="s">
        <v>1062</v>
      </c>
      <c r="T6" s="114" t="s">
        <v>902</v>
      </c>
      <c r="U6" s="59" t="str">
        <f t="shared" ref="U6:U15" si="1">IF(J6="Done","Closed",IF(P6="","No update",TODAY()-DATEVALUE(P6)&amp;"d"))</f>
        <v>4d</v>
      </c>
    </row>
    <row r="7" ht="31.5" customHeight="1">
      <c r="A7" s="59" t="s">
        <v>1063</v>
      </c>
      <c r="B7" s="59" t="s">
        <v>146</v>
      </c>
      <c r="C7" s="59" t="s">
        <v>1064</v>
      </c>
      <c r="D7" s="59" t="s">
        <v>99</v>
      </c>
      <c r="E7" s="59" t="s">
        <v>1065</v>
      </c>
      <c r="F7" s="59" t="s">
        <v>875</v>
      </c>
      <c r="G7" s="59" t="s">
        <v>334</v>
      </c>
      <c r="H7" s="59" t="s">
        <v>334</v>
      </c>
      <c r="I7" s="115">
        <v>46266.0</v>
      </c>
      <c r="J7" s="59" t="s">
        <v>677</v>
      </c>
      <c r="K7" s="59"/>
      <c r="L7" s="59" t="s">
        <v>344</v>
      </c>
      <c r="M7" s="59"/>
      <c r="N7" s="59" t="s">
        <v>1066</v>
      </c>
      <c r="O7" s="116" t="s">
        <v>1060</v>
      </c>
      <c r="P7" s="116" t="s">
        <v>1060</v>
      </c>
      <c r="Q7" s="114" t="s">
        <v>344</v>
      </c>
      <c r="R7" s="116" t="s">
        <v>1067</v>
      </c>
      <c r="S7" s="114" t="s">
        <v>1068</v>
      </c>
      <c r="T7" s="114" t="s">
        <v>902</v>
      </c>
      <c r="U7" s="59" t="str">
        <f t="shared" si="1"/>
        <v>4d</v>
      </c>
    </row>
    <row r="8" ht="31.5" customHeight="1">
      <c r="A8" s="59" t="s">
        <v>1069</v>
      </c>
      <c r="B8" s="59" t="s">
        <v>146</v>
      </c>
      <c r="C8" s="59" t="s">
        <v>1070</v>
      </c>
      <c r="D8" s="59" t="s">
        <v>99</v>
      </c>
      <c r="E8" s="59" t="s">
        <v>1065</v>
      </c>
      <c r="F8" s="59" t="s">
        <v>875</v>
      </c>
      <c r="G8" s="59" t="s">
        <v>334</v>
      </c>
      <c r="H8" s="59" t="s">
        <v>334</v>
      </c>
      <c r="I8" s="115">
        <v>46269.0</v>
      </c>
      <c r="J8" s="59" t="s">
        <v>677</v>
      </c>
      <c r="K8" s="59"/>
      <c r="L8" s="59" t="s">
        <v>344</v>
      </c>
      <c r="M8" s="59"/>
      <c r="N8" s="59" t="s">
        <v>1066</v>
      </c>
      <c r="O8" s="116" t="s">
        <v>1060</v>
      </c>
      <c r="P8" s="116" t="s">
        <v>1060</v>
      </c>
      <c r="Q8" s="114" t="s">
        <v>344</v>
      </c>
      <c r="R8" s="114" t="s">
        <v>1071</v>
      </c>
      <c r="S8" s="114" t="s">
        <v>1072</v>
      </c>
      <c r="T8" s="114" t="s">
        <v>902</v>
      </c>
      <c r="U8" s="59" t="str">
        <f t="shared" si="1"/>
        <v>4d</v>
      </c>
    </row>
    <row r="9" ht="31.5" customHeight="1">
      <c r="A9" s="59" t="s">
        <v>695</v>
      </c>
      <c r="B9" s="59" t="s">
        <v>690</v>
      </c>
      <c r="C9" s="59" t="s">
        <v>1073</v>
      </c>
      <c r="D9" s="59" t="s">
        <v>99</v>
      </c>
      <c r="E9" s="59" t="s">
        <v>1086</v>
      </c>
      <c r="F9" s="59" t="s">
        <v>871</v>
      </c>
      <c r="G9" s="59" t="s">
        <v>334</v>
      </c>
      <c r="H9" s="59" t="s">
        <v>334</v>
      </c>
      <c r="I9" s="115">
        <v>46267.0</v>
      </c>
      <c r="J9" s="59" t="s">
        <v>518</v>
      </c>
      <c r="K9" s="59"/>
      <c r="L9" s="59" t="s">
        <v>344</v>
      </c>
      <c r="M9" s="59"/>
      <c r="N9" s="59" t="s">
        <v>1087</v>
      </c>
      <c r="O9" s="116" t="s">
        <v>1060</v>
      </c>
      <c r="P9" s="116" t="s">
        <v>1060</v>
      </c>
      <c r="Q9" s="114" t="s">
        <v>334</v>
      </c>
      <c r="R9" s="116" t="s">
        <v>1088</v>
      </c>
      <c r="S9" s="114" t="s">
        <v>1089</v>
      </c>
      <c r="T9" s="114" t="s">
        <v>902</v>
      </c>
      <c r="U9" s="59" t="str">
        <f t="shared" si="1"/>
        <v>4d</v>
      </c>
    </row>
    <row r="10" ht="31.5" customHeight="1">
      <c r="A10" s="59" t="s">
        <v>698</v>
      </c>
      <c r="B10" s="59" t="s">
        <v>107</v>
      </c>
      <c r="C10" s="59" t="s">
        <v>1090</v>
      </c>
      <c r="D10" s="59" t="s">
        <v>109</v>
      </c>
      <c r="E10" s="59" t="s">
        <v>1091</v>
      </c>
      <c r="F10" s="59" t="s">
        <v>875</v>
      </c>
      <c r="G10" s="59" t="s">
        <v>334</v>
      </c>
      <c r="H10" s="59" t="s">
        <v>344</v>
      </c>
      <c r="I10" s="115">
        <v>46269.0</v>
      </c>
      <c r="J10" s="59" t="s">
        <v>677</v>
      </c>
      <c r="K10" s="59"/>
      <c r="L10" s="59" t="s">
        <v>344</v>
      </c>
      <c r="M10" s="59"/>
      <c r="N10" s="59" t="s">
        <v>1092</v>
      </c>
      <c r="O10" s="116" t="s">
        <v>1060</v>
      </c>
      <c r="P10" s="116" t="s">
        <v>1060</v>
      </c>
      <c r="Q10" s="114" t="s">
        <v>334</v>
      </c>
      <c r="R10" s="116" t="s">
        <v>1093</v>
      </c>
      <c r="S10" s="114" t="s">
        <v>1094</v>
      </c>
      <c r="T10" s="114" t="s">
        <v>902</v>
      </c>
      <c r="U10" s="59" t="str">
        <f t="shared" si="1"/>
        <v>4d</v>
      </c>
    </row>
    <row r="11" ht="31.5" customHeight="1">
      <c r="A11" s="59" t="s">
        <v>701</v>
      </c>
      <c r="B11" s="59" t="s">
        <v>107</v>
      </c>
      <c r="C11" s="59" t="s">
        <v>1095</v>
      </c>
      <c r="D11" s="59" t="s">
        <v>109</v>
      </c>
      <c r="E11" s="59" t="s">
        <v>1096</v>
      </c>
      <c r="F11" s="59" t="s">
        <v>875</v>
      </c>
      <c r="G11" s="59" t="s">
        <v>344</v>
      </c>
      <c r="H11" s="59" t="s">
        <v>344</v>
      </c>
      <c r="I11" s="115">
        <v>46268.0</v>
      </c>
      <c r="J11" s="59" t="s">
        <v>677</v>
      </c>
      <c r="K11" s="59" t="s">
        <v>99</v>
      </c>
      <c r="L11" s="59" t="s">
        <v>344</v>
      </c>
      <c r="M11" s="59"/>
      <c r="N11" s="59" t="s">
        <v>1092</v>
      </c>
      <c r="O11" s="116" t="s">
        <v>1060</v>
      </c>
      <c r="P11" s="116" t="s">
        <v>1060</v>
      </c>
      <c r="Q11" s="114" t="s">
        <v>334</v>
      </c>
      <c r="R11" s="116" t="s">
        <v>1097</v>
      </c>
      <c r="S11" s="114" t="s">
        <v>1098</v>
      </c>
      <c r="T11" s="114" t="s">
        <v>902</v>
      </c>
      <c r="U11" s="59" t="str">
        <f t="shared" si="1"/>
        <v>4d</v>
      </c>
    </row>
    <row r="12" ht="31.5" customHeight="1">
      <c r="A12" s="59" t="s">
        <v>1099</v>
      </c>
      <c r="B12" s="59" t="s">
        <v>183</v>
      </c>
      <c r="C12" s="59" t="s">
        <v>1100</v>
      </c>
      <c r="D12" s="59" t="s">
        <v>99</v>
      </c>
      <c r="E12" s="59" t="s">
        <v>1065</v>
      </c>
      <c r="F12" s="59" t="s">
        <v>875</v>
      </c>
      <c r="G12" s="114" t="s">
        <v>1101</v>
      </c>
      <c r="H12" s="59" t="s">
        <v>344</v>
      </c>
      <c r="I12" s="115">
        <v>46266.0</v>
      </c>
      <c r="J12" s="59" t="s">
        <v>677</v>
      </c>
      <c r="K12" s="59" t="s">
        <v>331</v>
      </c>
      <c r="L12" s="59" t="s">
        <v>344</v>
      </c>
      <c r="M12" s="59"/>
      <c r="N12" s="59"/>
      <c r="O12" s="116" t="s">
        <v>1060</v>
      </c>
      <c r="P12" s="116" t="s">
        <v>1060</v>
      </c>
      <c r="Q12" s="114" t="s">
        <v>344</v>
      </c>
      <c r="R12" s="116" t="s">
        <v>1067</v>
      </c>
      <c r="S12" s="114" t="s">
        <v>1102</v>
      </c>
      <c r="T12" s="114" t="s">
        <v>902</v>
      </c>
      <c r="U12" s="59" t="str">
        <f t="shared" si="1"/>
        <v>4d</v>
      </c>
    </row>
    <row r="13" ht="31.5" customHeight="1">
      <c r="A13" s="59" t="s">
        <v>705</v>
      </c>
      <c r="B13" s="59" t="s">
        <v>703</v>
      </c>
      <c r="C13" s="59" t="s">
        <v>1103</v>
      </c>
      <c r="D13" s="59" t="s">
        <v>109</v>
      </c>
      <c r="E13" s="59" t="s">
        <v>1104</v>
      </c>
      <c r="F13" s="59" t="s">
        <v>875</v>
      </c>
      <c r="G13" s="114" t="s">
        <v>1101</v>
      </c>
      <c r="H13" s="59" t="s">
        <v>344</v>
      </c>
      <c r="I13" s="115">
        <v>46269.0</v>
      </c>
      <c r="J13" s="59" t="s">
        <v>677</v>
      </c>
      <c r="K13" s="59"/>
      <c r="L13" s="59" t="s">
        <v>344</v>
      </c>
      <c r="M13" s="59"/>
      <c r="N13" s="59"/>
      <c r="O13" s="116" t="s">
        <v>1060</v>
      </c>
      <c r="P13" s="116" t="s">
        <v>1060</v>
      </c>
      <c r="Q13" s="114" t="s">
        <v>344</v>
      </c>
      <c r="R13" s="116" t="s">
        <v>1093</v>
      </c>
      <c r="S13" s="114" t="s">
        <v>1105</v>
      </c>
      <c r="T13" s="114" t="s">
        <v>902</v>
      </c>
      <c r="U13" s="59" t="str">
        <f t="shared" si="1"/>
        <v>4d</v>
      </c>
    </row>
    <row r="14" ht="31.5" customHeight="1">
      <c r="A14" s="59" t="s">
        <v>1106</v>
      </c>
      <c r="B14" s="59" t="s">
        <v>703</v>
      </c>
      <c r="C14" s="59" t="s">
        <v>1107</v>
      </c>
      <c r="D14" s="59" t="s">
        <v>99</v>
      </c>
      <c r="E14" s="59" t="s">
        <v>1096</v>
      </c>
      <c r="F14" s="114" t="s">
        <v>1108</v>
      </c>
      <c r="G14" s="114" t="s">
        <v>1101</v>
      </c>
      <c r="H14" s="59" t="s">
        <v>334</v>
      </c>
      <c r="I14" s="115">
        <v>46267.0</v>
      </c>
      <c r="J14" s="59" t="s">
        <v>677</v>
      </c>
      <c r="K14" s="59"/>
      <c r="L14" s="59" t="s">
        <v>344</v>
      </c>
      <c r="M14" s="59"/>
      <c r="N14" s="59"/>
      <c r="O14" s="116" t="s">
        <v>1060</v>
      </c>
      <c r="P14" s="116" t="s">
        <v>1060</v>
      </c>
      <c r="Q14" s="114" t="s">
        <v>344</v>
      </c>
      <c r="R14" s="116" t="s">
        <v>1088</v>
      </c>
      <c r="S14" s="114" t="s">
        <v>1111</v>
      </c>
      <c r="T14" s="114" t="s">
        <v>902</v>
      </c>
      <c r="U14" s="59" t="str">
        <f t="shared" si="1"/>
        <v>4d</v>
      </c>
    </row>
    <row r="15" ht="31.5" customHeight="1">
      <c r="A15" s="59" t="s">
        <v>1112</v>
      </c>
      <c r="B15" s="59" t="s">
        <v>886</v>
      </c>
      <c r="C15" s="59" t="s">
        <v>1114</v>
      </c>
      <c r="D15" s="59" t="s">
        <v>99</v>
      </c>
      <c r="E15" s="59" t="s">
        <v>1115</v>
      </c>
      <c r="F15" s="114" t="s">
        <v>1108</v>
      </c>
      <c r="G15" s="114" t="s">
        <v>1101</v>
      </c>
      <c r="H15" s="59" t="s">
        <v>344</v>
      </c>
      <c r="I15" s="115">
        <v>46265.0</v>
      </c>
      <c r="J15" s="59" t="s">
        <v>677</v>
      </c>
      <c r="K15" s="59"/>
      <c r="L15" s="59" t="s">
        <v>344</v>
      </c>
      <c r="M15" s="59"/>
      <c r="N15" s="59"/>
      <c r="O15" s="116" t="s">
        <v>1060</v>
      </c>
      <c r="P15" s="116" t="s">
        <v>1060</v>
      </c>
      <c r="Q15" s="114" t="s">
        <v>344</v>
      </c>
      <c r="R15" s="116" t="s">
        <v>1061</v>
      </c>
      <c r="S15" s="114" t="s">
        <v>1119</v>
      </c>
      <c r="T15" s="114" t="s">
        <v>902</v>
      </c>
      <c r="U15" s="59" t="str">
        <f t="shared" si="1"/>
        <v>4d</v>
      </c>
    </row>
    <row r="16" ht="31.5" customHeight="1">
      <c r="A16" s="124" t="s">
        <v>715</v>
      </c>
      <c r="B16" s="124" t="s">
        <v>668</v>
      </c>
      <c r="C16" s="59"/>
      <c r="D16" s="59"/>
      <c r="E16" s="124" t="s">
        <v>1122</v>
      </c>
      <c r="F16" s="124" t="s">
        <v>1108</v>
      </c>
      <c r="G16" s="124" t="s">
        <v>1101</v>
      </c>
      <c r="H16" s="124" t="s">
        <v>344</v>
      </c>
      <c r="I16" s="115"/>
      <c r="J16" s="124" t="s">
        <v>677</v>
      </c>
      <c r="K16" s="59"/>
      <c r="L16" s="124" t="s">
        <v>344</v>
      </c>
      <c r="M16" s="59"/>
      <c r="N16" s="59"/>
      <c r="O16" s="125">
        <v>46266.540043437504</v>
      </c>
      <c r="P16" s="125">
        <v>46266.540043437504</v>
      </c>
      <c r="Q16" s="124" t="s">
        <v>344</v>
      </c>
      <c r="R16" s="59"/>
      <c r="S16" s="59"/>
      <c r="T16" s="59"/>
      <c r="U16" s="124" t="s">
        <v>1123</v>
      </c>
    </row>
    <row r="17" ht="31.5" customHeight="1">
      <c r="A17" s="124" t="s">
        <v>716</v>
      </c>
      <c r="B17" s="124" t="s">
        <v>668</v>
      </c>
      <c r="C17" s="59"/>
      <c r="D17" s="59"/>
      <c r="E17" s="124" t="s">
        <v>1122</v>
      </c>
      <c r="F17" s="124" t="s">
        <v>1108</v>
      </c>
      <c r="G17" s="124" t="s">
        <v>1101</v>
      </c>
      <c r="H17" s="124" t="s">
        <v>344</v>
      </c>
      <c r="I17" s="115"/>
      <c r="J17" s="124" t="s">
        <v>677</v>
      </c>
      <c r="K17" s="59"/>
      <c r="L17" s="124" t="s">
        <v>344</v>
      </c>
      <c r="M17" s="59"/>
      <c r="N17" s="59"/>
      <c r="O17" s="125">
        <v>46266.54005461806</v>
      </c>
      <c r="P17" s="125">
        <v>46266.54005461806</v>
      </c>
      <c r="Q17" s="124" t="s">
        <v>344</v>
      </c>
      <c r="R17" s="59"/>
      <c r="S17" s="59"/>
      <c r="T17" s="59"/>
      <c r="U17" s="124" t="s">
        <v>1123</v>
      </c>
    </row>
    <row r="18" ht="31.5" customHeight="1">
      <c r="A18" s="124" t="s">
        <v>717</v>
      </c>
      <c r="B18" s="124" t="s">
        <v>668</v>
      </c>
      <c r="C18" s="59"/>
      <c r="D18" s="59"/>
      <c r="E18" s="124" t="s">
        <v>1122</v>
      </c>
      <c r="F18" s="124" t="s">
        <v>1108</v>
      </c>
      <c r="G18" s="124" t="s">
        <v>1101</v>
      </c>
      <c r="H18" s="124" t="s">
        <v>344</v>
      </c>
      <c r="I18" s="115"/>
      <c r="J18" s="124" t="s">
        <v>677</v>
      </c>
      <c r="K18" s="59"/>
      <c r="L18" s="124" t="s">
        <v>344</v>
      </c>
      <c r="M18" s="59"/>
      <c r="N18" s="59"/>
      <c r="O18" s="125">
        <v>46266.54006100695</v>
      </c>
      <c r="P18" s="125">
        <v>46266.54006100695</v>
      </c>
      <c r="Q18" s="124" t="s">
        <v>344</v>
      </c>
      <c r="R18" s="59"/>
      <c r="S18" s="59"/>
      <c r="T18" s="59"/>
      <c r="U18" s="124" t="s">
        <v>1123</v>
      </c>
    </row>
    <row r="19" ht="31.5" customHeight="1">
      <c r="A19" s="124" t="s">
        <v>718</v>
      </c>
      <c r="B19" s="124" t="s">
        <v>668</v>
      </c>
      <c r="C19" s="124" t="s">
        <v>719</v>
      </c>
      <c r="D19" s="124" t="s">
        <v>1130</v>
      </c>
      <c r="E19" s="124" t="s">
        <v>1122</v>
      </c>
      <c r="F19" s="124" t="s">
        <v>1108</v>
      </c>
      <c r="G19" s="124" t="s">
        <v>1101</v>
      </c>
      <c r="H19" s="124" t="s">
        <v>334</v>
      </c>
      <c r="I19" s="124" t="s">
        <v>1131</v>
      </c>
      <c r="J19" s="124" t="s">
        <v>677</v>
      </c>
      <c r="K19" s="59"/>
      <c r="L19" s="124" t="s">
        <v>344</v>
      </c>
      <c r="M19" s="59"/>
      <c r="N19" s="59"/>
      <c r="O19" s="125">
        <v>46266.540223958335</v>
      </c>
      <c r="P19" s="125">
        <v>46266.540223958335</v>
      </c>
      <c r="Q19" s="124" t="s">
        <v>344</v>
      </c>
      <c r="R19" s="59"/>
      <c r="S19" s="124" t="s">
        <v>1134</v>
      </c>
      <c r="T19" s="59"/>
      <c r="U19" s="124" t="s">
        <v>1123</v>
      </c>
    </row>
    <row r="20" ht="31.5" customHeight="1">
      <c r="A20" s="124" t="s">
        <v>721</v>
      </c>
      <c r="B20" s="124" t="s">
        <v>668</v>
      </c>
      <c r="C20" s="124" t="s">
        <v>719</v>
      </c>
      <c r="D20" s="124" t="s">
        <v>1130</v>
      </c>
      <c r="E20" s="124" t="s">
        <v>1122</v>
      </c>
      <c r="F20" s="124" t="s">
        <v>1108</v>
      </c>
      <c r="G20" s="124" t="s">
        <v>1101</v>
      </c>
      <c r="H20" s="124" t="s">
        <v>334</v>
      </c>
      <c r="I20" s="124" t="s">
        <v>1131</v>
      </c>
      <c r="J20" s="124" t="s">
        <v>677</v>
      </c>
      <c r="K20" s="59"/>
      <c r="L20" s="124" t="s">
        <v>344</v>
      </c>
      <c r="M20" s="59"/>
      <c r="N20" s="59"/>
      <c r="O20" s="125">
        <v>46266.5402412963</v>
      </c>
      <c r="P20" s="125">
        <v>46266.5402412963</v>
      </c>
      <c r="Q20" s="124" t="s">
        <v>344</v>
      </c>
      <c r="R20" s="59"/>
      <c r="S20" s="124" t="s">
        <v>1134</v>
      </c>
      <c r="T20" s="59"/>
      <c r="U20" s="124" t="s">
        <v>1123</v>
      </c>
    </row>
    <row r="21" ht="31.5" customHeight="1">
      <c r="A21" s="124" t="s">
        <v>720</v>
      </c>
      <c r="B21" s="124" t="s">
        <v>668</v>
      </c>
      <c r="C21" s="124" t="s">
        <v>719</v>
      </c>
      <c r="D21" s="124" t="s">
        <v>1130</v>
      </c>
      <c r="E21" s="124" t="s">
        <v>1122</v>
      </c>
      <c r="F21" s="124" t="s">
        <v>1108</v>
      </c>
      <c r="G21" s="124" t="s">
        <v>1101</v>
      </c>
      <c r="H21" s="124" t="s">
        <v>334</v>
      </c>
      <c r="I21" s="124" t="s">
        <v>1131</v>
      </c>
      <c r="J21" s="124" t="s">
        <v>677</v>
      </c>
      <c r="K21" s="59"/>
      <c r="L21" s="124" t="s">
        <v>344</v>
      </c>
      <c r="M21" s="59"/>
      <c r="N21" s="59"/>
      <c r="O21" s="125">
        <v>46266.54024696759</v>
      </c>
      <c r="P21" s="125">
        <v>46266.54024696759</v>
      </c>
      <c r="Q21" s="124" t="s">
        <v>344</v>
      </c>
      <c r="R21" s="59"/>
      <c r="S21" s="124" t="s">
        <v>1134</v>
      </c>
      <c r="T21" s="59"/>
      <c r="U21" s="124" t="s">
        <v>1123</v>
      </c>
    </row>
    <row r="22" ht="31.5" customHeight="1">
      <c r="A22" s="124" t="s">
        <v>720</v>
      </c>
      <c r="B22" s="124" t="s">
        <v>668</v>
      </c>
      <c r="C22" s="124" t="s">
        <v>719</v>
      </c>
      <c r="D22" s="124" t="s">
        <v>1130</v>
      </c>
      <c r="E22" s="124" t="s">
        <v>1122</v>
      </c>
      <c r="F22" s="124" t="s">
        <v>1108</v>
      </c>
      <c r="G22" s="124" t="s">
        <v>1101</v>
      </c>
      <c r="H22" s="124" t="s">
        <v>334</v>
      </c>
      <c r="I22" s="124" t="s">
        <v>1131</v>
      </c>
      <c r="J22" s="124" t="s">
        <v>677</v>
      </c>
      <c r="K22" s="59"/>
      <c r="L22" s="124" t="s">
        <v>344</v>
      </c>
      <c r="M22" s="59"/>
      <c r="N22" s="59"/>
      <c r="O22" s="125">
        <v>46266.54025082176</v>
      </c>
      <c r="P22" s="125">
        <v>46266.54025082176</v>
      </c>
      <c r="Q22" s="124" t="s">
        <v>344</v>
      </c>
      <c r="R22" s="59"/>
      <c r="S22" s="124" t="s">
        <v>1134</v>
      </c>
      <c r="T22" s="59"/>
      <c r="U22" s="124" t="s">
        <v>1123</v>
      </c>
    </row>
    <row r="23" ht="31.5" customHeight="1">
      <c r="A23" s="124" t="s">
        <v>722</v>
      </c>
      <c r="B23" s="124" t="s">
        <v>668</v>
      </c>
      <c r="C23" s="124" t="s">
        <v>719</v>
      </c>
      <c r="D23" s="124" t="s">
        <v>1130</v>
      </c>
      <c r="E23" s="124" t="s">
        <v>1122</v>
      </c>
      <c r="F23" s="124" t="s">
        <v>875</v>
      </c>
      <c r="G23" s="124" t="s">
        <v>334</v>
      </c>
      <c r="H23" s="124" t="s">
        <v>334</v>
      </c>
      <c r="I23" s="124" t="s">
        <v>1131</v>
      </c>
      <c r="J23" s="124" t="s">
        <v>677</v>
      </c>
      <c r="K23" s="59"/>
      <c r="L23" s="124" t="s">
        <v>344</v>
      </c>
      <c r="M23" s="59"/>
      <c r="N23" s="59"/>
      <c r="O23" s="125">
        <v>46266.540255162035</v>
      </c>
      <c r="P23" s="125">
        <v>46266.540255162035</v>
      </c>
      <c r="Q23" s="124" t="s">
        <v>344</v>
      </c>
      <c r="R23" s="59"/>
      <c r="S23" s="124" t="s">
        <v>1134</v>
      </c>
      <c r="T23" s="59"/>
      <c r="U23" s="124" t="s">
        <v>1123</v>
      </c>
    </row>
    <row r="24" ht="31.5" customHeight="1">
      <c r="A24" s="59"/>
      <c r="B24" s="59"/>
      <c r="C24" s="59"/>
      <c r="D24" s="59"/>
      <c r="E24" s="59"/>
      <c r="F24" s="59"/>
      <c r="G24" s="59"/>
      <c r="H24" s="59"/>
      <c r="I24" s="115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ht="31.5" customHeight="1">
      <c r="A25" s="59"/>
      <c r="B25" s="59"/>
      <c r="C25" s="59"/>
      <c r="D25" s="59"/>
      <c r="E25" s="59"/>
      <c r="F25" s="59"/>
      <c r="G25" s="59"/>
      <c r="H25" s="59"/>
      <c r="I25" s="115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 ht="31.5" customHeight="1">
      <c r="A26" s="59"/>
      <c r="B26" s="59"/>
      <c r="C26" s="59"/>
      <c r="D26" s="59"/>
      <c r="E26" s="59"/>
      <c r="F26" s="59"/>
      <c r="G26" s="59"/>
      <c r="H26" s="59"/>
      <c r="I26" s="115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</row>
    <row r="27" ht="31.5" customHeight="1">
      <c r="A27" s="59"/>
      <c r="B27" s="59"/>
      <c r="C27" s="59"/>
      <c r="D27" s="59"/>
      <c r="E27" s="59"/>
      <c r="F27" s="59"/>
      <c r="G27" s="59"/>
      <c r="H27" s="59"/>
      <c r="I27" s="115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ht="31.5" customHeight="1">
      <c r="A28" s="59"/>
      <c r="B28" s="59"/>
      <c r="C28" s="59"/>
      <c r="D28" s="59"/>
      <c r="E28" s="59"/>
      <c r="F28" s="59"/>
      <c r="G28" s="59"/>
      <c r="H28" s="59"/>
      <c r="I28" s="115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 ht="31.5" customHeight="1">
      <c r="A29" s="59"/>
      <c r="B29" s="59"/>
      <c r="C29" s="59"/>
      <c r="D29" s="59"/>
      <c r="E29" s="59"/>
      <c r="F29" s="59"/>
      <c r="G29" s="59"/>
      <c r="H29" s="59"/>
      <c r="I29" s="115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</row>
    <row r="30" ht="31.5" customHeight="1">
      <c r="A30" s="59"/>
      <c r="B30" s="59"/>
      <c r="C30" s="59"/>
      <c r="D30" s="59"/>
      <c r="E30" s="59"/>
      <c r="F30" s="59"/>
      <c r="G30" s="59"/>
      <c r="H30" s="59"/>
      <c r="I30" s="115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 ht="31.5" customHeight="1">
      <c r="A31" s="59"/>
      <c r="B31" s="59"/>
      <c r="C31" s="59"/>
      <c r="D31" s="59"/>
      <c r="E31" s="59"/>
      <c r="F31" s="59"/>
      <c r="G31" s="59"/>
      <c r="H31" s="59"/>
      <c r="I31" s="115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 ht="31.5" customHeight="1">
      <c r="A32" s="59"/>
      <c r="B32" s="59"/>
      <c r="C32" s="59"/>
      <c r="D32" s="59"/>
      <c r="E32" s="59"/>
      <c r="F32" s="59"/>
      <c r="G32" s="59"/>
      <c r="H32" s="59"/>
      <c r="I32" s="115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</row>
    <row r="33" ht="31.5" customHeight="1">
      <c r="A33" s="59"/>
      <c r="B33" s="59"/>
      <c r="C33" s="59"/>
      <c r="D33" s="59"/>
      <c r="E33" s="59"/>
      <c r="F33" s="59"/>
      <c r="G33" s="59"/>
      <c r="H33" s="59"/>
      <c r="I33" s="115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 ht="31.5" customHeight="1">
      <c r="A34" s="59"/>
      <c r="B34" s="59"/>
      <c r="C34" s="59"/>
      <c r="D34" s="59"/>
      <c r="E34" s="59"/>
      <c r="F34" s="59"/>
      <c r="G34" s="59"/>
      <c r="H34" s="59"/>
      <c r="I34" s="115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ht="31.5" customHeight="1">
      <c r="A35" s="59"/>
      <c r="B35" s="59"/>
      <c r="C35" s="59"/>
      <c r="D35" s="59"/>
      <c r="E35" s="59"/>
      <c r="F35" s="59"/>
      <c r="G35" s="59"/>
      <c r="H35" s="59"/>
      <c r="I35" s="115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</row>
    <row r="36" ht="31.5" customHeight="1">
      <c r="A36" s="59"/>
      <c r="B36" s="59"/>
      <c r="C36" s="59"/>
      <c r="D36" s="59"/>
      <c r="E36" s="59"/>
      <c r="F36" s="59"/>
      <c r="G36" s="59"/>
      <c r="H36" s="59"/>
      <c r="I36" s="115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ht="31.5" customHeight="1">
      <c r="A37" s="59"/>
      <c r="B37" s="59"/>
      <c r="C37" s="59"/>
      <c r="D37" s="59"/>
      <c r="E37" s="59"/>
      <c r="F37" s="59"/>
      <c r="G37" s="59"/>
      <c r="H37" s="59"/>
      <c r="I37" s="115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</row>
    <row r="38" ht="31.5" customHeight="1">
      <c r="A38" s="59"/>
      <c r="B38" s="59"/>
      <c r="C38" s="59"/>
      <c r="D38" s="59"/>
      <c r="E38" s="59"/>
      <c r="F38" s="59"/>
      <c r="G38" s="59"/>
      <c r="H38" s="59"/>
      <c r="I38" s="115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</row>
    <row r="39" ht="31.5" customHeight="1">
      <c r="A39" s="59"/>
      <c r="B39" s="59"/>
      <c r="C39" s="59"/>
      <c r="D39" s="59"/>
      <c r="E39" s="59"/>
      <c r="F39" s="59"/>
      <c r="G39" s="59"/>
      <c r="H39" s="59"/>
      <c r="I39" s="115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</row>
    <row r="40" ht="31.5" customHeight="1">
      <c r="A40" s="59"/>
      <c r="B40" s="59"/>
      <c r="C40" s="59"/>
      <c r="D40" s="59"/>
      <c r="E40" s="59"/>
      <c r="F40" s="59"/>
      <c r="G40" s="59"/>
      <c r="H40" s="59"/>
      <c r="I40" s="115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70"/>
      <c r="J41" s="69"/>
      <c r="K41" s="69"/>
      <c r="L41" s="69"/>
      <c r="M41" s="69"/>
      <c r="N41" s="69"/>
      <c r="O41" s="69"/>
      <c r="P41" s="69"/>
      <c r="Q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70"/>
      <c r="J42" s="69"/>
      <c r="K42" s="69"/>
      <c r="L42" s="69"/>
      <c r="M42" s="69"/>
      <c r="N42" s="69"/>
      <c r="O42" s="69"/>
      <c r="P42" s="69"/>
      <c r="Q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70"/>
      <c r="J43" s="69"/>
      <c r="K43" s="69"/>
      <c r="L43" s="69"/>
      <c r="M43" s="69"/>
      <c r="N43" s="69"/>
      <c r="O43" s="69"/>
      <c r="P43" s="69"/>
      <c r="Q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70"/>
      <c r="J44" s="69"/>
      <c r="K44" s="69"/>
      <c r="L44" s="69"/>
      <c r="M44" s="69"/>
      <c r="N44" s="69"/>
      <c r="O44" s="69"/>
      <c r="P44" s="69"/>
      <c r="Q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70"/>
      <c r="J45" s="69"/>
      <c r="K45" s="69"/>
      <c r="L45" s="69"/>
      <c r="M45" s="69"/>
      <c r="N45" s="69"/>
      <c r="O45" s="69"/>
      <c r="P45" s="69"/>
      <c r="Q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70"/>
      <c r="J46" s="69"/>
      <c r="K46" s="69"/>
      <c r="L46" s="69"/>
      <c r="M46" s="69"/>
      <c r="N46" s="69"/>
      <c r="O46" s="69"/>
      <c r="P46" s="69"/>
      <c r="Q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70"/>
      <c r="J47" s="69"/>
      <c r="K47" s="69"/>
      <c r="L47" s="69"/>
      <c r="M47" s="69"/>
      <c r="N47" s="69"/>
      <c r="O47" s="69"/>
      <c r="P47" s="69"/>
      <c r="Q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70"/>
      <c r="J48" s="69"/>
      <c r="K48" s="69"/>
      <c r="L48" s="69"/>
      <c r="M48" s="69"/>
      <c r="N48" s="69"/>
      <c r="O48" s="69"/>
      <c r="P48" s="69"/>
      <c r="Q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70"/>
      <c r="J49" s="69"/>
      <c r="K49" s="69"/>
      <c r="L49" s="69"/>
      <c r="M49" s="69"/>
      <c r="N49" s="69"/>
      <c r="O49" s="69"/>
      <c r="P49" s="69"/>
      <c r="Q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70"/>
      <c r="J50" s="69"/>
      <c r="K50" s="69"/>
      <c r="L50" s="69"/>
      <c r="M50" s="69"/>
      <c r="N50" s="69"/>
      <c r="O50" s="69"/>
      <c r="P50" s="69"/>
      <c r="Q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70"/>
      <c r="J51" s="69"/>
      <c r="K51" s="69"/>
      <c r="L51" s="69"/>
      <c r="M51" s="69"/>
      <c r="N51" s="69"/>
      <c r="O51" s="69"/>
      <c r="P51" s="69"/>
      <c r="Q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70"/>
      <c r="J52" s="69"/>
      <c r="K52" s="69"/>
      <c r="L52" s="69"/>
      <c r="M52" s="69"/>
      <c r="N52" s="69"/>
      <c r="O52" s="69"/>
      <c r="P52" s="69"/>
      <c r="Q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70"/>
      <c r="J53" s="69"/>
      <c r="K53" s="69"/>
      <c r="L53" s="69"/>
      <c r="M53" s="69"/>
      <c r="N53" s="69"/>
      <c r="O53" s="69"/>
      <c r="P53" s="69"/>
      <c r="Q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70"/>
      <c r="J54" s="69"/>
      <c r="K54" s="69"/>
      <c r="L54" s="69"/>
      <c r="M54" s="69"/>
      <c r="N54" s="69"/>
      <c r="O54" s="69"/>
      <c r="P54" s="69"/>
      <c r="Q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70"/>
      <c r="J55" s="69"/>
      <c r="K55" s="69"/>
      <c r="L55" s="69"/>
      <c r="M55" s="69"/>
      <c r="N55" s="69"/>
      <c r="O55" s="69"/>
      <c r="P55" s="69"/>
      <c r="Q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70"/>
      <c r="J56" s="69"/>
      <c r="K56" s="69"/>
      <c r="L56" s="69"/>
      <c r="M56" s="69"/>
      <c r="N56" s="69"/>
      <c r="O56" s="69"/>
      <c r="P56" s="69"/>
      <c r="Q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70"/>
      <c r="J57" s="69"/>
      <c r="K57" s="69"/>
      <c r="L57" s="69"/>
      <c r="M57" s="69"/>
      <c r="N57" s="69"/>
      <c r="O57" s="69"/>
      <c r="P57" s="69"/>
      <c r="Q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70"/>
      <c r="J58" s="69"/>
      <c r="K58" s="69"/>
      <c r="L58" s="69"/>
      <c r="M58" s="69"/>
      <c r="N58" s="69"/>
      <c r="O58" s="69"/>
      <c r="P58" s="69"/>
      <c r="Q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70"/>
      <c r="J59" s="69"/>
      <c r="K59" s="69"/>
      <c r="L59" s="69"/>
      <c r="M59" s="69"/>
      <c r="N59" s="69"/>
      <c r="O59" s="69"/>
      <c r="P59" s="69"/>
      <c r="Q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70"/>
      <c r="J60" s="69"/>
      <c r="K60" s="69"/>
      <c r="L60" s="69"/>
      <c r="M60" s="69"/>
      <c r="N60" s="69"/>
      <c r="O60" s="69"/>
      <c r="P60" s="69"/>
      <c r="Q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70"/>
      <c r="J61" s="69"/>
      <c r="K61" s="69"/>
      <c r="L61" s="69"/>
      <c r="M61" s="69"/>
      <c r="N61" s="69"/>
      <c r="O61" s="69"/>
      <c r="P61" s="69"/>
      <c r="Q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70"/>
      <c r="J62" s="69"/>
      <c r="K62" s="69"/>
      <c r="L62" s="69"/>
      <c r="M62" s="69"/>
      <c r="N62" s="69"/>
      <c r="O62" s="69"/>
      <c r="P62" s="69"/>
      <c r="Q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70"/>
      <c r="J63" s="69"/>
      <c r="K63" s="69"/>
      <c r="L63" s="69"/>
      <c r="M63" s="69"/>
      <c r="N63" s="69"/>
      <c r="O63" s="69"/>
      <c r="P63" s="69"/>
      <c r="Q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70"/>
      <c r="J64" s="69"/>
      <c r="K64" s="69"/>
      <c r="L64" s="69"/>
      <c r="M64" s="69"/>
      <c r="N64" s="69"/>
      <c r="O64" s="69"/>
      <c r="P64" s="69"/>
      <c r="Q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70"/>
      <c r="J65" s="69"/>
      <c r="K65" s="69"/>
      <c r="L65" s="69"/>
      <c r="M65" s="69"/>
      <c r="N65" s="69"/>
      <c r="O65" s="69"/>
      <c r="P65" s="69"/>
      <c r="Q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70"/>
      <c r="J66" s="69"/>
      <c r="K66" s="69"/>
      <c r="L66" s="69"/>
      <c r="M66" s="69"/>
      <c r="N66" s="69"/>
      <c r="O66" s="69"/>
      <c r="P66" s="69"/>
      <c r="Q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70"/>
      <c r="J67" s="69"/>
      <c r="K67" s="69"/>
      <c r="L67" s="69"/>
      <c r="M67" s="69"/>
      <c r="N67" s="69"/>
      <c r="O67" s="69"/>
      <c r="P67" s="69"/>
      <c r="Q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70"/>
      <c r="J69" s="69"/>
      <c r="K69" s="69"/>
      <c r="L69" s="69"/>
      <c r="M69" s="69"/>
      <c r="N69" s="69"/>
      <c r="O69" s="69"/>
      <c r="P69" s="69"/>
      <c r="Q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70"/>
      <c r="J70" s="69"/>
      <c r="K70" s="69"/>
      <c r="L70" s="69"/>
      <c r="M70" s="69"/>
      <c r="N70" s="69"/>
      <c r="O70" s="69"/>
      <c r="P70" s="69"/>
      <c r="Q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70"/>
      <c r="J71" s="69"/>
      <c r="K71" s="69"/>
      <c r="L71" s="69"/>
      <c r="M71" s="69"/>
      <c r="N71" s="69"/>
      <c r="O71" s="69"/>
      <c r="P71" s="69"/>
      <c r="Q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70"/>
      <c r="J72" s="69"/>
      <c r="K72" s="69"/>
      <c r="L72" s="69"/>
      <c r="M72" s="69"/>
      <c r="N72" s="69"/>
      <c r="O72" s="69"/>
      <c r="P72" s="69"/>
      <c r="Q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70"/>
      <c r="J73" s="69"/>
      <c r="K73" s="69"/>
      <c r="L73" s="69"/>
      <c r="M73" s="69"/>
      <c r="N73" s="69"/>
      <c r="O73" s="69"/>
      <c r="P73" s="69"/>
      <c r="Q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70"/>
      <c r="J74" s="69"/>
      <c r="K74" s="69"/>
      <c r="L74" s="69"/>
      <c r="M74" s="69"/>
      <c r="N74" s="69"/>
      <c r="O74" s="69"/>
      <c r="P74" s="69"/>
      <c r="Q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70"/>
      <c r="J75" s="69"/>
      <c r="K75" s="69"/>
      <c r="L75" s="69"/>
      <c r="M75" s="69"/>
      <c r="N75" s="69"/>
      <c r="O75" s="69"/>
      <c r="P75" s="69"/>
      <c r="Q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70"/>
      <c r="J76" s="69"/>
      <c r="K76" s="69"/>
      <c r="L76" s="69"/>
      <c r="M76" s="69"/>
      <c r="N76" s="69"/>
      <c r="O76" s="69"/>
      <c r="P76" s="69"/>
      <c r="Q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70"/>
      <c r="J77" s="69"/>
      <c r="K77" s="69"/>
      <c r="L77" s="69"/>
      <c r="M77" s="69"/>
      <c r="N77" s="69"/>
      <c r="O77" s="69"/>
      <c r="P77" s="69"/>
      <c r="Q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70"/>
      <c r="J78" s="69"/>
      <c r="K78" s="69"/>
      <c r="L78" s="69"/>
      <c r="M78" s="69"/>
      <c r="N78" s="69"/>
      <c r="O78" s="69"/>
      <c r="P78" s="69"/>
      <c r="Q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70"/>
      <c r="J79" s="69"/>
      <c r="K79" s="69"/>
      <c r="L79" s="69"/>
      <c r="M79" s="69"/>
      <c r="N79" s="69"/>
      <c r="O79" s="69"/>
      <c r="P79" s="69"/>
      <c r="Q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70"/>
      <c r="J80" s="69"/>
      <c r="K80" s="69"/>
      <c r="L80" s="69"/>
      <c r="M80" s="69"/>
      <c r="N80" s="69"/>
      <c r="O80" s="69"/>
      <c r="P80" s="69"/>
      <c r="Q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70"/>
      <c r="J81" s="69"/>
      <c r="K81" s="69"/>
      <c r="L81" s="69"/>
      <c r="M81" s="69"/>
      <c r="N81" s="69"/>
      <c r="O81" s="69"/>
      <c r="P81" s="69"/>
      <c r="Q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70"/>
      <c r="J82" s="69"/>
      <c r="K82" s="69"/>
      <c r="L82" s="69"/>
      <c r="M82" s="69"/>
      <c r="N82" s="69"/>
      <c r="O82" s="69"/>
      <c r="P82" s="69"/>
      <c r="Q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70"/>
      <c r="J83" s="69"/>
      <c r="K83" s="69"/>
      <c r="L83" s="69"/>
      <c r="M83" s="69"/>
      <c r="N83" s="69"/>
      <c r="O83" s="69"/>
      <c r="P83" s="69"/>
      <c r="Q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70"/>
      <c r="J84" s="69"/>
      <c r="K84" s="69"/>
      <c r="L84" s="69"/>
      <c r="M84" s="69"/>
      <c r="N84" s="69"/>
      <c r="O84" s="69"/>
      <c r="P84" s="69"/>
      <c r="Q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70"/>
      <c r="J85" s="69"/>
      <c r="K85" s="69"/>
      <c r="L85" s="69"/>
      <c r="M85" s="69"/>
      <c r="N85" s="69"/>
      <c r="O85" s="69"/>
      <c r="P85" s="69"/>
      <c r="Q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70"/>
      <c r="J86" s="69"/>
      <c r="K86" s="69"/>
      <c r="L86" s="69"/>
      <c r="M86" s="69"/>
      <c r="N86" s="69"/>
      <c r="O86" s="69"/>
      <c r="P86" s="69"/>
      <c r="Q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70"/>
      <c r="J87" s="69"/>
      <c r="K87" s="69"/>
      <c r="L87" s="69"/>
      <c r="M87" s="69"/>
      <c r="N87" s="69"/>
      <c r="O87" s="69"/>
      <c r="P87" s="69"/>
      <c r="Q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70"/>
      <c r="J88" s="69"/>
      <c r="K88" s="69"/>
      <c r="L88" s="69"/>
      <c r="M88" s="69"/>
      <c r="N88" s="69"/>
      <c r="O88" s="69"/>
      <c r="P88" s="69"/>
      <c r="Q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70"/>
      <c r="J89" s="69"/>
      <c r="K89" s="69"/>
      <c r="L89" s="69"/>
      <c r="M89" s="69"/>
      <c r="N89" s="69"/>
      <c r="O89" s="69"/>
      <c r="P89" s="69"/>
      <c r="Q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70"/>
      <c r="J90" s="69"/>
      <c r="K90" s="69"/>
      <c r="L90" s="69"/>
      <c r="M90" s="69"/>
      <c r="N90" s="69"/>
      <c r="O90" s="69"/>
      <c r="P90" s="69"/>
      <c r="Q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70"/>
      <c r="J91" s="69"/>
      <c r="K91" s="69"/>
      <c r="L91" s="69"/>
      <c r="M91" s="69"/>
      <c r="N91" s="69"/>
      <c r="O91" s="69"/>
      <c r="P91" s="69"/>
      <c r="Q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70"/>
      <c r="J92" s="69"/>
      <c r="K92" s="69"/>
      <c r="L92" s="69"/>
      <c r="M92" s="69"/>
      <c r="N92" s="69"/>
      <c r="O92" s="69"/>
      <c r="P92" s="69"/>
      <c r="Q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70"/>
      <c r="J93" s="69"/>
      <c r="K93" s="69"/>
      <c r="L93" s="69"/>
      <c r="M93" s="69"/>
      <c r="N93" s="69"/>
      <c r="O93" s="69"/>
      <c r="P93" s="69"/>
      <c r="Q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70"/>
      <c r="J94" s="69"/>
      <c r="K94" s="69"/>
      <c r="L94" s="69"/>
      <c r="M94" s="69"/>
      <c r="N94" s="69"/>
      <c r="O94" s="69"/>
      <c r="P94" s="69"/>
      <c r="Q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70"/>
      <c r="J95" s="69"/>
      <c r="K95" s="69"/>
      <c r="L95" s="69"/>
      <c r="M95" s="69"/>
      <c r="N95" s="69"/>
      <c r="O95" s="69"/>
      <c r="P95" s="69"/>
      <c r="Q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70"/>
      <c r="J96" s="69"/>
      <c r="K96" s="69"/>
      <c r="L96" s="69"/>
      <c r="M96" s="69"/>
      <c r="N96" s="69"/>
      <c r="O96" s="69"/>
      <c r="P96" s="69"/>
      <c r="Q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70"/>
      <c r="J97" s="69"/>
      <c r="K97" s="69"/>
      <c r="L97" s="69"/>
      <c r="M97" s="69"/>
      <c r="N97" s="69"/>
      <c r="O97" s="69"/>
      <c r="P97" s="69"/>
      <c r="Q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70"/>
      <c r="J98" s="69"/>
      <c r="K98" s="69"/>
      <c r="L98" s="69"/>
      <c r="M98" s="69"/>
      <c r="N98" s="69"/>
      <c r="O98" s="69"/>
      <c r="P98" s="69"/>
      <c r="Q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70"/>
      <c r="J99" s="69"/>
      <c r="K99" s="69"/>
      <c r="L99" s="69"/>
      <c r="M99" s="69"/>
      <c r="N99" s="69"/>
      <c r="O99" s="69"/>
      <c r="P99" s="69"/>
      <c r="Q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70"/>
      <c r="J100" s="69"/>
      <c r="K100" s="69"/>
      <c r="L100" s="69"/>
      <c r="M100" s="69"/>
      <c r="N100" s="69"/>
      <c r="O100" s="69"/>
      <c r="P100" s="69"/>
      <c r="Q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</row>
    <row r="105" ht="15.75" customHeight="1">
      <c r="D105" s="97"/>
      <c r="E105" s="97"/>
      <c r="F105" s="97"/>
      <c r="G105" s="97"/>
      <c r="H105" s="97"/>
      <c r="J105" s="97"/>
      <c r="L105" s="97"/>
      <c r="Q105" s="97"/>
    </row>
    <row r="106" ht="15.75" customHeight="1">
      <c r="D106" s="97"/>
      <c r="E106" s="97"/>
      <c r="F106" s="97"/>
      <c r="G106" s="97"/>
      <c r="H106" s="97"/>
      <c r="J106" s="97"/>
      <c r="L106" s="97"/>
      <c r="Q106" s="97"/>
    </row>
    <row r="107" ht="15.75" customHeight="1">
      <c r="D107" s="97"/>
      <c r="E107" s="97"/>
      <c r="F107" s="97"/>
      <c r="G107" s="97"/>
      <c r="H107" s="97"/>
      <c r="J107" s="97"/>
      <c r="L107" s="97"/>
      <c r="Q107" s="97"/>
    </row>
    <row r="108" ht="15.75" customHeight="1">
      <c r="D108" s="97"/>
      <c r="E108" s="97"/>
      <c r="F108" s="97"/>
      <c r="G108" s="97"/>
      <c r="H108" s="97"/>
      <c r="J108" s="97"/>
      <c r="L108" s="97"/>
      <c r="Q108" s="97"/>
    </row>
    <row r="109" ht="15.75" customHeight="1">
      <c r="D109" s="97"/>
      <c r="E109" s="97"/>
      <c r="F109" s="97"/>
      <c r="G109" s="97"/>
      <c r="H109" s="97"/>
      <c r="J109" s="97"/>
      <c r="L109" s="97"/>
      <c r="Q109" s="97"/>
    </row>
    <row r="110" ht="15.75" customHeight="1">
      <c r="D110" s="97"/>
      <c r="E110" s="97"/>
      <c r="F110" s="97"/>
      <c r="G110" s="97"/>
      <c r="H110" s="97"/>
      <c r="J110" s="97"/>
      <c r="L110" s="97"/>
      <c r="Q110" s="97"/>
    </row>
    <row r="111" ht="15.75" customHeight="1">
      <c r="D111" s="97"/>
      <c r="E111" s="97"/>
      <c r="F111" s="97"/>
      <c r="G111" s="97"/>
      <c r="H111" s="97"/>
      <c r="J111" s="97"/>
      <c r="L111" s="97"/>
      <c r="Q111" s="97"/>
    </row>
    <row r="112" ht="15.75" customHeight="1">
      <c r="D112" s="97"/>
      <c r="E112" s="97"/>
      <c r="F112" s="97"/>
      <c r="G112" s="97"/>
      <c r="H112" s="97"/>
      <c r="J112" s="97"/>
      <c r="L112" s="97"/>
      <c r="Q112" s="97"/>
    </row>
    <row r="113" ht="15.75" customHeight="1">
      <c r="D113" s="97"/>
      <c r="E113" s="97"/>
      <c r="F113" s="97"/>
      <c r="G113" s="97"/>
      <c r="H113" s="97"/>
      <c r="J113" s="97"/>
      <c r="L113" s="97"/>
      <c r="Q113" s="97"/>
    </row>
    <row r="114" ht="15.75" customHeight="1">
      <c r="D114" s="97"/>
      <c r="E114" s="97"/>
      <c r="F114" s="97"/>
      <c r="G114" s="97"/>
      <c r="H114" s="97"/>
      <c r="J114" s="97"/>
      <c r="L114" s="97"/>
      <c r="Q114" s="97"/>
    </row>
    <row r="115" ht="15.75" customHeight="1">
      <c r="D115" s="97"/>
      <c r="E115" s="97"/>
      <c r="F115" s="97"/>
      <c r="G115" s="97"/>
      <c r="H115" s="97"/>
      <c r="J115" s="97"/>
      <c r="L115" s="97"/>
      <c r="Q115" s="97"/>
    </row>
    <row r="116" ht="15.75" customHeight="1">
      <c r="D116" s="97"/>
      <c r="E116" s="97"/>
      <c r="F116" s="97"/>
      <c r="G116" s="97"/>
      <c r="H116" s="97"/>
      <c r="J116" s="97"/>
      <c r="L116" s="97"/>
      <c r="Q116" s="97"/>
    </row>
    <row r="117" ht="15.75" customHeight="1">
      <c r="D117" s="97"/>
      <c r="E117" s="97"/>
      <c r="F117" s="97"/>
      <c r="G117" s="97"/>
      <c r="H117" s="97"/>
      <c r="J117" s="97"/>
      <c r="L117" s="97"/>
      <c r="Q117" s="97"/>
    </row>
    <row r="118" ht="15.75" customHeight="1">
      <c r="D118" s="97"/>
      <c r="E118" s="97"/>
      <c r="F118" s="97"/>
      <c r="G118" s="97"/>
      <c r="H118" s="97"/>
      <c r="J118" s="97"/>
      <c r="L118" s="97"/>
      <c r="Q118" s="97"/>
    </row>
    <row r="119" ht="15.75" customHeight="1">
      <c r="D119" s="97"/>
      <c r="E119" s="97"/>
      <c r="F119" s="97"/>
      <c r="G119" s="97"/>
      <c r="H119" s="97"/>
      <c r="J119" s="97"/>
      <c r="L119" s="97"/>
      <c r="Q119" s="97"/>
    </row>
    <row r="120" ht="15.75" customHeight="1">
      <c r="D120" s="97"/>
      <c r="E120" s="97"/>
      <c r="F120" s="97"/>
      <c r="G120" s="97"/>
      <c r="H120" s="97"/>
      <c r="J120" s="97"/>
      <c r="L120" s="97"/>
      <c r="Q120" s="97"/>
    </row>
    <row r="121" ht="15.75" customHeight="1">
      <c r="D121" s="97"/>
      <c r="E121" s="97"/>
      <c r="F121" s="97"/>
      <c r="G121" s="97"/>
      <c r="H121" s="97"/>
      <c r="J121" s="97"/>
      <c r="L121" s="97"/>
      <c r="Q121" s="97"/>
    </row>
    <row r="122" ht="15.75" customHeight="1">
      <c r="D122" s="97"/>
      <c r="E122" s="97"/>
      <c r="F122" s="97"/>
      <c r="G122" s="97"/>
      <c r="H122" s="97"/>
      <c r="J122" s="97"/>
      <c r="L122" s="97"/>
      <c r="Q122" s="97"/>
    </row>
    <row r="123" ht="15.75" customHeight="1">
      <c r="D123" s="97"/>
      <c r="E123" s="97"/>
      <c r="F123" s="97"/>
      <c r="G123" s="97"/>
      <c r="H123" s="97"/>
      <c r="J123" s="97"/>
      <c r="L123" s="97"/>
      <c r="Q123" s="97"/>
    </row>
    <row r="124" ht="15.75" customHeight="1">
      <c r="D124" s="97"/>
      <c r="E124" s="97"/>
      <c r="F124" s="97"/>
      <c r="G124" s="97"/>
      <c r="H124" s="97"/>
      <c r="J124" s="97"/>
      <c r="L124" s="97"/>
      <c r="Q124" s="97"/>
    </row>
    <row r="125" ht="15.75" customHeight="1">
      <c r="D125" s="97"/>
      <c r="E125" s="97"/>
      <c r="F125" s="97"/>
      <c r="G125" s="97"/>
      <c r="H125" s="97"/>
      <c r="J125" s="97"/>
      <c r="L125" s="97"/>
      <c r="Q125" s="97"/>
    </row>
    <row r="126" ht="15.75" customHeight="1">
      <c r="D126" s="97"/>
      <c r="E126" s="97"/>
      <c r="F126" s="97"/>
      <c r="G126" s="97"/>
      <c r="H126" s="97"/>
      <c r="J126" s="97"/>
      <c r="L126" s="97"/>
      <c r="Q126" s="97"/>
    </row>
    <row r="127" ht="15.75" customHeight="1">
      <c r="D127" s="97"/>
      <c r="E127" s="97"/>
      <c r="F127" s="97"/>
      <c r="G127" s="97"/>
      <c r="H127" s="97"/>
      <c r="J127" s="97"/>
      <c r="L127" s="97"/>
      <c r="Q127" s="97"/>
    </row>
    <row r="128" ht="15.75" customHeight="1">
      <c r="D128" s="97"/>
      <c r="E128" s="97"/>
      <c r="F128" s="97"/>
      <c r="G128" s="97"/>
      <c r="H128" s="97"/>
      <c r="J128" s="97"/>
      <c r="L128" s="97"/>
      <c r="Q128" s="97"/>
    </row>
    <row r="129" ht="15.75" customHeight="1">
      <c r="D129" s="97"/>
      <c r="E129" s="97"/>
      <c r="F129" s="97"/>
      <c r="G129" s="97"/>
      <c r="H129" s="97"/>
      <c r="J129" s="97"/>
      <c r="L129" s="97"/>
      <c r="Q129" s="97"/>
    </row>
    <row r="130" ht="15.75" customHeight="1">
      <c r="D130" s="97"/>
      <c r="E130" s="97"/>
      <c r="F130" s="97"/>
      <c r="G130" s="97"/>
      <c r="H130" s="97"/>
      <c r="J130" s="97"/>
      <c r="L130" s="97"/>
      <c r="Q130" s="97"/>
    </row>
    <row r="131" ht="15.75" customHeight="1">
      <c r="D131" s="97"/>
      <c r="E131" s="97"/>
      <c r="F131" s="97"/>
      <c r="G131" s="97"/>
      <c r="H131" s="97"/>
      <c r="J131" s="97"/>
      <c r="L131" s="97"/>
      <c r="Q131" s="97"/>
    </row>
    <row r="132" ht="15.75" customHeight="1">
      <c r="D132" s="97"/>
      <c r="E132" s="97"/>
      <c r="F132" s="97"/>
      <c r="G132" s="97"/>
      <c r="H132" s="97"/>
      <c r="J132" s="97"/>
      <c r="L132" s="97"/>
      <c r="Q132" s="97"/>
    </row>
    <row r="133" ht="15.75" customHeight="1">
      <c r="D133" s="97"/>
      <c r="E133" s="97"/>
      <c r="F133" s="97"/>
      <c r="G133" s="97"/>
      <c r="H133" s="97"/>
      <c r="J133" s="97"/>
      <c r="L133" s="97"/>
      <c r="Q133" s="97"/>
    </row>
    <row r="134" ht="15.75" customHeight="1">
      <c r="D134" s="97"/>
      <c r="E134" s="97"/>
      <c r="F134" s="97"/>
      <c r="G134" s="97"/>
      <c r="H134" s="97"/>
      <c r="J134" s="97"/>
      <c r="L134" s="97"/>
      <c r="Q134" s="97"/>
    </row>
    <row r="135" ht="15.75" customHeight="1">
      <c r="D135" s="97"/>
      <c r="E135" s="97"/>
      <c r="F135" s="97"/>
      <c r="G135" s="97"/>
      <c r="H135" s="97"/>
      <c r="J135" s="97"/>
      <c r="L135" s="97"/>
      <c r="Q135" s="97"/>
    </row>
    <row r="136" ht="15.75" customHeight="1">
      <c r="D136" s="97"/>
      <c r="E136" s="97"/>
      <c r="F136" s="97"/>
      <c r="G136" s="97"/>
      <c r="H136" s="97"/>
      <c r="J136" s="97"/>
      <c r="L136" s="97"/>
      <c r="Q136" s="97"/>
    </row>
    <row r="137" ht="15.75" customHeight="1">
      <c r="D137" s="97"/>
      <c r="E137" s="97"/>
      <c r="F137" s="97"/>
      <c r="G137" s="97"/>
      <c r="H137" s="97"/>
      <c r="J137" s="97"/>
      <c r="L137" s="97"/>
      <c r="Q137" s="97"/>
    </row>
    <row r="138" ht="15.75" customHeight="1">
      <c r="D138" s="97"/>
      <c r="E138" s="97"/>
      <c r="F138" s="97"/>
      <c r="G138" s="97"/>
      <c r="H138" s="97"/>
      <c r="J138" s="97"/>
      <c r="L138" s="97"/>
      <c r="Q138" s="97"/>
    </row>
    <row r="139" ht="15.75" customHeight="1">
      <c r="D139" s="97"/>
      <c r="E139" s="97"/>
      <c r="F139" s="97"/>
      <c r="G139" s="97"/>
      <c r="H139" s="97"/>
      <c r="J139" s="97"/>
      <c r="L139" s="97"/>
      <c r="Q139" s="97"/>
    </row>
    <row r="140" ht="15.75" customHeight="1">
      <c r="D140" s="97"/>
      <c r="E140" s="97"/>
      <c r="F140" s="97"/>
      <c r="G140" s="97"/>
      <c r="H140" s="97"/>
      <c r="J140" s="97"/>
      <c r="L140" s="97"/>
      <c r="Q140" s="97"/>
    </row>
    <row r="141" ht="15.75" customHeight="1">
      <c r="D141" s="97"/>
      <c r="E141" s="97"/>
      <c r="F141" s="97"/>
      <c r="G141" s="97"/>
      <c r="H141" s="97"/>
      <c r="J141" s="97"/>
      <c r="L141" s="97"/>
      <c r="Q141" s="97"/>
    </row>
    <row r="142" ht="15.75" customHeight="1">
      <c r="D142" s="97"/>
      <c r="E142" s="97"/>
      <c r="F142" s="97"/>
      <c r="G142" s="97"/>
      <c r="H142" s="97"/>
      <c r="J142" s="97"/>
      <c r="L142" s="97"/>
      <c r="Q142" s="97"/>
    </row>
    <row r="143" ht="15.75" customHeight="1">
      <c r="D143" s="97"/>
      <c r="E143" s="97"/>
      <c r="F143" s="97"/>
      <c r="G143" s="97"/>
      <c r="H143" s="97"/>
      <c r="J143" s="97"/>
      <c r="L143" s="97"/>
      <c r="Q143" s="97"/>
    </row>
    <row r="144" ht="15.75" customHeight="1">
      <c r="D144" s="97"/>
      <c r="E144" s="97"/>
      <c r="F144" s="97"/>
      <c r="G144" s="97"/>
      <c r="H144" s="97"/>
      <c r="J144" s="97"/>
      <c r="L144" s="97"/>
      <c r="Q144" s="97"/>
    </row>
    <row r="145" ht="15.75" customHeight="1">
      <c r="D145" s="97"/>
      <c r="E145" s="97"/>
      <c r="F145" s="97"/>
      <c r="G145" s="97"/>
      <c r="H145" s="97"/>
      <c r="J145" s="97"/>
      <c r="L145" s="97"/>
      <c r="Q145" s="97"/>
    </row>
    <row r="146" ht="15.75" customHeight="1">
      <c r="D146" s="97"/>
      <c r="E146" s="97"/>
      <c r="F146" s="97"/>
      <c r="G146" s="97"/>
      <c r="H146" s="97"/>
      <c r="J146" s="97"/>
      <c r="L146" s="97"/>
      <c r="Q146" s="97"/>
    </row>
    <row r="147" ht="15.75" customHeight="1">
      <c r="D147" s="97"/>
      <c r="E147" s="97"/>
      <c r="F147" s="97"/>
      <c r="G147" s="97"/>
      <c r="H147" s="97"/>
      <c r="J147" s="97"/>
      <c r="L147" s="97"/>
      <c r="Q147" s="97"/>
    </row>
    <row r="148" ht="15.75" customHeight="1">
      <c r="D148" s="97"/>
      <c r="E148" s="97"/>
      <c r="F148" s="97"/>
      <c r="G148" s="97"/>
      <c r="H148" s="97"/>
      <c r="J148" s="97"/>
      <c r="L148" s="97"/>
      <c r="Q148" s="97"/>
    </row>
    <row r="149" ht="15.75" customHeight="1">
      <c r="D149" s="97"/>
      <c r="E149" s="97"/>
      <c r="F149" s="97"/>
      <c r="G149" s="97"/>
      <c r="H149" s="97"/>
      <c r="J149" s="97"/>
      <c r="L149" s="97"/>
      <c r="Q149" s="97"/>
    </row>
    <row r="150" ht="15.75" customHeight="1">
      <c r="D150" s="97"/>
      <c r="E150" s="97"/>
      <c r="F150" s="97"/>
      <c r="G150" s="97"/>
      <c r="H150" s="97"/>
      <c r="J150" s="97"/>
      <c r="L150" s="97"/>
      <c r="Q150" s="97"/>
    </row>
    <row r="151" ht="15.75" customHeight="1">
      <c r="D151" s="97"/>
      <c r="E151" s="97"/>
      <c r="F151" s="97"/>
      <c r="G151" s="97"/>
      <c r="H151" s="97"/>
      <c r="J151" s="97"/>
      <c r="L151" s="97"/>
      <c r="Q151" s="97"/>
    </row>
    <row r="152" ht="15.75" customHeight="1">
      <c r="D152" s="97"/>
      <c r="E152" s="97"/>
      <c r="F152" s="97"/>
      <c r="G152" s="97"/>
      <c r="H152" s="97"/>
      <c r="J152" s="97"/>
      <c r="L152" s="97"/>
      <c r="Q152" s="97"/>
    </row>
    <row r="153" ht="15.75" customHeight="1">
      <c r="D153" s="97"/>
      <c r="E153" s="97"/>
      <c r="F153" s="97"/>
      <c r="G153" s="97"/>
      <c r="H153" s="97"/>
      <c r="J153" s="97"/>
      <c r="L153" s="97"/>
      <c r="Q153" s="97"/>
    </row>
    <row r="154" ht="15.75" customHeight="1">
      <c r="D154" s="97"/>
      <c r="E154" s="97"/>
      <c r="F154" s="97"/>
      <c r="G154" s="97"/>
      <c r="H154" s="97"/>
      <c r="J154" s="97"/>
      <c r="L154" s="97"/>
      <c r="Q154" s="97"/>
    </row>
    <row r="155" ht="15.75" customHeight="1">
      <c r="D155" s="97"/>
      <c r="E155" s="97"/>
      <c r="F155" s="97"/>
      <c r="G155" s="97"/>
      <c r="H155" s="97"/>
      <c r="J155" s="97"/>
      <c r="L155" s="97"/>
      <c r="Q155" s="97"/>
    </row>
    <row r="156" ht="15.75" customHeight="1">
      <c r="D156" s="97"/>
      <c r="E156" s="97"/>
      <c r="F156" s="97"/>
      <c r="G156" s="97"/>
      <c r="H156" s="97"/>
      <c r="J156" s="97"/>
      <c r="L156" s="97"/>
      <c r="Q156" s="97"/>
    </row>
    <row r="157" ht="15.75" customHeight="1">
      <c r="D157" s="97"/>
      <c r="E157" s="97"/>
      <c r="F157" s="97"/>
      <c r="G157" s="97"/>
      <c r="H157" s="97"/>
      <c r="J157" s="97"/>
      <c r="L157" s="97"/>
      <c r="Q157" s="97"/>
    </row>
    <row r="158" ht="15.75" customHeight="1">
      <c r="D158" s="97"/>
      <c r="E158" s="97"/>
      <c r="F158" s="97"/>
      <c r="G158" s="97"/>
      <c r="H158" s="97"/>
      <c r="J158" s="97"/>
      <c r="L158" s="97"/>
      <c r="Q158" s="97"/>
    </row>
    <row r="159" ht="15.75" customHeight="1">
      <c r="D159" s="97"/>
      <c r="E159" s="97"/>
      <c r="F159" s="97"/>
      <c r="G159" s="97"/>
      <c r="H159" s="97"/>
      <c r="J159" s="97"/>
      <c r="L159" s="97"/>
      <c r="Q159" s="97"/>
    </row>
    <row r="160" ht="15.75" customHeight="1">
      <c r="D160" s="97"/>
      <c r="E160" s="97"/>
      <c r="F160" s="97"/>
      <c r="G160" s="97"/>
      <c r="H160" s="97"/>
      <c r="J160" s="97"/>
      <c r="L160" s="97"/>
      <c r="Q160" s="97"/>
    </row>
    <row r="161" ht="15.75" customHeight="1">
      <c r="D161" s="97"/>
      <c r="E161" s="97"/>
      <c r="F161" s="97"/>
      <c r="G161" s="97"/>
      <c r="H161" s="97"/>
      <c r="J161" s="97"/>
      <c r="L161" s="97"/>
      <c r="Q161" s="97"/>
    </row>
    <row r="162" ht="15.75" customHeight="1">
      <c r="D162" s="97"/>
      <c r="E162" s="97"/>
      <c r="F162" s="97"/>
      <c r="G162" s="97"/>
      <c r="H162" s="97"/>
      <c r="J162" s="97"/>
      <c r="L162" s="97"/>
      <c r="Q162" s="97"/>
    </row>
    <row r="163" ht="15.75" customHeight="1">
      <c r="D163" s="97"/>
      <c r="E163" s="97"/>
      <c r="F163" s="97"/>
      <c r="G163" s="97"/>
      <c r="H163" s="97"/>
      <c r="J163" s="97"/>
      <c r="L163" s="97"/>
      <c r="Q163" s="97"/>
    </row>
    <row r="164" ht="15.75" customHeight="1">
      <c r="D164" s="97"/>
      <c r="E164" s="97"/>
      <c r="F164" s="97"/>
      <c r="G164" s="97"/>
      <c r="H164" s="97"/>
      <c r="J164" s="97"/>
      <c r="L164" s="97"/>
      <c r="Q164" s="97"/>
    </row>
    <row r="165" ht="15.75" customHeight="1">
      <c r="D165" s="97"/>
      <c r="E165" s="97"/>
      <c r="F165" s="97"/>
      <c r="G165" s="97"/>
      <c r="H165" s="97"/>
      <c r="J165" s="97"/>
      <c r="L165" s="97"/>
      <c r="Q165" s="97"/>
    </row>
    <row r="166" ht="15.75" customHeight="1">
      <c r="D166" s="97"/>
      <c r="E166" s="97"/>
      <c r="F166" s="97"/>
      <c r="G166" s="97"/>
      <c r="H166" s="97"/>
      <c r="J166" s="97"/>
      <c r="L166" s="97"/>
      <c r="Q166" s="97"/>
    </row>
    <row r="167" ht="15.75" customHeight="1">
      <c r="D167" s="97"/>
      <c r="E167" s="97"/>
      <c r="F167" s="97"/>
      <c r="G167" s="97"/>
      <c r="H167" s="97"/>
      <c r="J167" s="97"/>
      <c r="L167" s="97"/>
      <c r="Q167" s="97"/>
    </row>
    <row r="168" ht="15.75" customHeight="1">
      <c r="D168" s="97"/>
      <c r="E168" s="97"/>
      <c r="F168" s="97"/>
      <c r="G168" s="97"/>
      <c r="H168" s="97"/>
      <c r="J168" s="97"/>
      <c r="L168" s="97"/>
      <c r="Q168" s="97"/>
    </row>
    <row r="169" ht="15.75" customHeight="1">
      <c r="D169" s="97"/>
      <c r="E169" s="97"/>
      <c r="F169" s="97"/>
      <c r="G169" s="97"/>
      <c r="H169" s="97"/>
      <c r="J169" s="97"/>
      <c r="L169" s="97"/>
      <c r="Q169" s="97"/>
    </row>
    <row r="170" ht="15.75" customHeight="1">
      <c r="D170" s="97"/>
      <c r="E170" s="97"/>
      <c r="F170" s="97"/>
      <c r="G170" s="97"/>
      <c r="H170" s="97"/>
      <c r="J170" s="97"/>
      <c r="L170" s="97"/>
      <c r="Q170" s="97"/>
    </row>
    <row r="171" ht="15.75" customHeight="1">
      <c r="D171" s="97"/>
      <c r="E171" s="97"/>
      <c r="F171" s="97"/>
      <c r="G171" s="97"/>
      <c r="H171" s="97"/>
      <c r="J171" s="97"/>
      <c r="L171" s="97"/>
      <c r="Q171" s="97"/>
    </row>
    <row r="172" ht="15.75" customHeight="1">
      <c r="D172" s="97"/>
      <c r="E172" s="97"/>
      <c r="F172" s="97"/>
      <c r="G172" s="97"/>
      <c r="H172" s="97"/>
      <c r="J172" s="97"/>
      <c r="L172" s="97"/>
      <c r="Q172" s="97"/>
    </row>
    <row r="173" ht="15.75" customHeight="1">
      <c r="D173" s="97"/>
      <c r="E173" s="97"/>
      <c r="F173" s="97"/>
      <c r="G173" s="97"/>
      <c r="H173" s="97"/>
      <c r="J173" s="97"/>
      <c r="L173" s="97"/>
      <c r="Q173" s="97"/>
    </row>
    <row r="174" ht="15.75" customHeight="1">
      <c r="D174" s="97"/>
      <c r="E174" s="97"/>
      <c r="F174" s="97"/>
      <c r="G174" s="97"/>
      <c r="H174" s="97"/>
      <c r="J174" s="97"/>
      <c r="L174" s="97"/>
      <c r="Q174" s="97"/>
    </row>
    <row r="175" ht="15.75" customHeight="1">
      <c r="D175" s="97"/>
      <c r="E175" s="97"/>
      <c r="F175" s="97"/>
      <c r="G175" s="97"/>
      <c r="H175" s="97"/>
      <c r="J175" s="97"/>
      <c r="L175" s="97"/>
      <c r="Q175" s="97"/>
    </row>
    <row r="176" ht="15.75" customHeight="1">
      <c r="D176" s="97"/>
      <c r="E176" s="97"/>
      <c r="F176" s="97"/>
      <c r="G176" s="97"/>
      <c r="H176" s="97"/>
      <c r="J176" s="97"/>
      <c r="L176" s="97"/>
      <c r="Q176" s="97"/>
    </row>
    <row r="177" ht="15.75" customHeight="1">
      <c r="D177" s="97"/>
      <c r="E177" s="97"/>
      <c r="F177" s="97"/>
      <c r="G177" s="97"/>
      <c r="H177" s="97"/>
      <c r="J177" s="97"/>
      <c r="L177" s="97"/>
      <c r="Q177" s="97"/>
    </row>
    <row r="178" ht="15.75" customHeight="1">
      <c r="D178" s="97"/>
      <c r="E178" s="97"/>
      <c r="F178" s="97"/>
      <c r="G178" s="97"/>
      <c r="H178" s="97"/>
      <c r="J178" s="97"/>
      <c r="L178" s="97"/>
      <c r="Q178" s="97"/>
    </row>
    <row r="179" ht="15.75" customHeight="1">
      <c r="D179" s="97"/>
      <c r="E179" s="97"/>
      <c r="F179" s="97"/>
      <c r="G179" s="97"/>
      <c r="H179" s="97"/>
      <c r="J179" s="97"/>
      <c r="L179" s="97"/>
      <c r="Q179" s="97"/>
    </row>
    <row r="180" ht="15.75" customHeight="1">
      <c r="D180" s="97"/>
      <c r="E180" s="97"/>
      <c r="F180" s="97"/>
      <c r="G180" s="97"/>
      <c r="H180" s="97"/>
      <c r="J180" s="97"/>
      <c r="L180" s="97"/>
      <c r="Q180" s="97"/>
    </row>
    <row r="181" ht="15.75" customHeight="1">
      <c r="D181" s="97"/>
      <c r="E181" s="97"/>
      <c r="F181" s="97"/>
      <c r="G181" s="97"/>
      <c r="H181" s="97"/>
      <c r="J181" s="97"/>
      <c r="L181" s="97"/>
      <c r="Q181" s="97"/>
    </row>
    <row r="182" ht="15.75" customHeight="1">
      <c r="D182" s="97"/>
      <c r="E182" s="97"/>
      <c r="F182" s="97"/>
      <c r="G182" s="97"/>
      <c r="H182" s="97"/>
      <c r="J182" s="97"/>
      <c r="L182" s="97"/>
      <c r="Q182" s="97"/>
    </row>
    <row r="183" ht="15.75" customHeight="1">
      <c r="D183" s="97"/>
      <c r="E183" s="97"/>
      <c r="F183" s="97"/>
      <c r="G183" s="97"/>
      <c r="H183" s="97"/>
      <c r="J183" s="97"/>
      <c r="L183" s="97"/>
      <c r="Q183" s="97"/>
    </row>
    <row r="184" ht="15.75" customHeight="1">
      <c r="D184" s="97"/>
      <c r="E184" s="97"/>
      <c r="F184" s="97"/>
      <c r="G184" s="97"/>
      <c r="H184" s="97"/>
      <c r="J184" s="97"/>
      <c r="L184" s="97"/>
      <c r="Q184" s="97"/>
    </row>
    <row r="185" ht="15.75" customHeight="1">
      <c r="D185" s="97"/>
      <c r="E185" s="97"/>
      <c r="F185" s="97"/>
      <c r="G185" s="97"/>
      <c r="H185" s="97"/>
      <c r="J185" s="97"/>
      <c r="L185" s="97"/>
      <c r="Q185" s="97"/>
    </row>
    <row r="186" ht="15.75" customHeight="1">
      <c r="D186" s="97"/>
      <c r="E186" s="97"/>
      <c r="F186" s="97"/>
      <c r="G186" s="97"/>
      <c r="H186" s="97"/>
      <c r="J186" s="97"/>
      <c r="L186" s="97"/>
      <c r="Q186" s="97"/>
    </row>
    <row r="187" ht="15.75" customHeight="1">
      <c r="D187" s="97"/>
      <c r="E187" s="97"/>
      <c r="F187" s="97"/>
      <c r="G187" s="97"/>
      <c r="H187" s="97"/>
      <c r="J187" s="97"/>
      <c r="L187" s="97"/>
      <c r="Q187" s="97"/>
    </row>
    <row r="188" ht="15.75" customHeight="1">
      <c r="D188" s="97"/>
      <c r="E188" s="97"/>
      <c r="F188" s="97"/>
      <c r="G188" s="97"/>
      <c r="H188" s="97"/>
      <c r="J188" s="97"/>
      <c r="L188" s="97"/>
      <c r="Q188" s="97"/>
    </row>
    <row r="189" ht="15.75" customHeight="1">
      <c r="D189" s="97"/>
      <c r="E189" s="97"/>
      <c r="F189" s="97"/>
      <c r="G189" s="97"/>
      <c r="H189" s="97"/>
      <c r="J189" s="97"/>
      <c r="L189" s="97"/>
      <c r="Q189" s="97"/>
    </row>
    <row r="190" ht="15.75" customHeight="1">
      <c r="D190" s="97"/>
      <c r="E190" s="97"/>
      <c r="F190" s="97"/>
      <c r="G190" s="97"/>
      <c r="H190" s="97"/>
      <c r="J190" s="97"/>
      <c r="L190" s="97"/>
      <c r="Q190" s="97"/>
    </row>
    <row r="191" ht="15.75" customHeight="1">
      <c r="D191" s="97"/>
      <c r="E191" s="97"/>
      <c r="F191" s="97"/>
      <c r="G191" s="97"/>
      <c r="H191" s="97"/>
      <c r="J191" s="97"/>
      <c r="L191" s="97"/>
      <c r="Q191" s="97"/>
    </row>
    <row r="192" ht="15.75" customHeight="1">
      <c r="D192" s="97"/>
      <c r="E192" s="97"/>
      <c r="F192" s="97"/>
      <c r="G192" s="97"/>
      <c r="H192" s="97"/>
      <c r="J192" s="97"/>
      <c r="L192" s="97"/>
      <c r="Q192" s="97"/>
    </row>
    <row r="193" ht="15.75" customHeight="1">
      <c r="D193" s="97"/>
      <c r="E193" s="97"/>
      <c r="F193" s="97"/>
      <c r="G193" s="97"/>
      <c r="H193" s="97"/>
      <c r="J193" s="97"/>
      <c r="L193" s="97"/>
      <c r="Q193" s="97"/>
    </row>
    <row r="194" ht="15.75" customHeight="1">
      <c r="D194" s="97"/>
      <c r="E194" s="97"/>
      <c r="F194" s="97"/>
      <c r="G194" s="97"/>
      <c r="H194" s="97"/>
      <c r="J194" s="97"/>
      <c r="L194" s="97"/>
      <c r="Q194" s="97"/>
    </row>
    <row r="195" ht="15.75" customHeight="1">
      <c r="D195" s="97"/>
      <c r="E195" s="97"/>
      <c r="F195" s="97"/>
      <c r="G195" s="97"/>
      <c r="H195" s="97"/>
      <c r="J195" s="97"/>
      <c r="L195" s="97"/>
      <c r="Q195" s="97"/>
    </row>
    <row r="196" ht="15.75" customHeight="1">
      <c r="D196" s="97"/>
      <c r="E196" s="97"/>
      <c r="F196" s="97"/>
      <c r="G196" s="97"/>
      <c r="H196" s="97"/>
      <c r="J196" s="97"/>
      <c r="L196" s="97"/>
      <c r="Q196" s="97"/>
    </row>
    <row r="197" ht="15.75" customHeight="1">
      <c r="D197" s="97"/>
      <c r="E197" s="97"/>
      <c r="F197" s="97"/>
      <c r="G197" s="97"/>
      <c r="H197" s="97"/>
      <c r="J197" s="97"/>
      <c r="L197" s="97"/>
      <c r="Q197" s="97"/>
    </row>
    <row r="198" ht="15.75" customHeight="1">
      <c r="D198" s="97"/>
      <c r="E198" s="97"/>
      <c r="F198" s="97"/>
      <c r="G198" s="97"/>
      <c r="H198" s="97"/>
      <c r="J198" s="97"/>
      <c r="L198" s="97"/>
      <c r="Q198" s="97"/>
    </row>
    <row r="199" ht="15.75" customHeight="1">
      <c r="D199" s="97"/>
      <c r="E199" s="97"/>
      <c r="F199" s="97"/>
      <c r="G199" s="97"/>
      <c r="H199" s="97"/>
      <c r="J199" s="97"/>
      <c r="L199" s="97"/>
      <c r="Q199" s="97"/>
    </row>
    <row r="200" ht="15.75" customHeight="1">
      <c r="D200" s="97"/>
      <c r="E200" s="97"/>
      <c r="F200" s="97"/>
      <c r="G200" s="97"/>
      <c r="H200" s="97"/>
      <c r="J200" s="97"/>
      <c r="L200" s="97"/>
      <c r="Q200" s="97"/>
    </row>
    <row r="201" ht="15.75" customHeight="1">
      <c r="D201" s="97"/>
      <c r="E201" s="97"/>
      <c r="F201" s="97"/>
      <c r="G201" s="97"/>
      <c r="H201" s="97"/>
      <c r="J201" s="97"/>
      <c r="L201" s="97"/>
      <c r="Q201" s="97"/>
    </row>
    <row r="202" ht="15.75" customHeight="1">
      <c r="D202" s="97"/>
      <c r="E202" s="97"/>
      <c r="F202" s="97"/>
      <c r="G202" s="97"/>
      <c r="H202" s="97"/>
      <c r="J202" s="97"/>
      <c r="L202" s="97"/>
      <c r="Q202" s="97"/>
    </row>
    <row r="203" ht="15.75" customHeight="1">
      <c r="D203" s="97"/>
      <c r="E203" s="97"/>
      <c r="F203" s="97"/>
      <c r="G203" s="97"/>
      <c r="H203" s="97"/>
      <c r="J203" s="97"/>
      <c r="L203" s="97"/>
      <c r="Q203" s="97"/>
    </row>
    <row r="204" ht="15.75" customHeight="1">
      <c r="D204" s="97"/>
      <c r="E204" s="97"/>
      <c r="F204" s="97"/>
      <c r="G204" s="97"/>
      <c r="H204" s="97"/>
      <c r="J204" s="97"/>
      <c r="L204" s="97"/>
      <c r="Q204" s="97"/>
    </row>
    <row r="205" ht="15.75" customHeight="1">
      <c r="D205" s="97"/>
      <c r="E205" s="97"/>
      <c r="F205" s="97"/>
      <c r="G205" s="97"/>
      <c r="H205" s="97"/>
      <c r="J205" s="97"/>
      <c r="L205" s="97"/>
      <c r="Q205" s="97"/>
    </row>
    <row r="206" ht="15.75" customHeight="1">
      <c r="D206" s="97"/>
      <c r="E206" s="97"/>
      <c r="F206" s="97"/>
      <c r="G206" s="97"/>
      <c r="H206" s="97"/>
      <c r="J206" s="97"/>
      <c r="L206" s="97"/>
      <c r="Q206" s="97"/>
    </row>
    <row r="207" ht="15.75" customHeight="1">
      <c r="D207" s="97"/>
      <c r="E207" s="97"/>
      <c r="F207" s="97"/>
      <c r="G207" s="97"/>
      <c r="H207" s="97"/>
      <c r="J207" s="97"/>
      <c r="L207" s="97"/>
      <c r="Q207" s="97"/>
    </row>
    <row r="208" ht="15.75" customHeight="1">
      <c r="D208" s="97"/>
      <c r="E208" s="97"/>
      <c r="F208" s="97"/>
      <c r="G208" s="97"/>
      <c r="H208" s="97"/>
      <c r="J208" s="97"/>
      <c r="L208" s="97"/>
      <c r="Q208" s="97"/>
    </row>
    <row r="209" ht="15.75" customHeight="1">
      <c r="D209" s="97"/>
      <c r="E209" s="97"/>
      <c r="F209" s="97"/>
      <c r="G209" s="97"/>
      <c r="H209" s="97"/>
      <c r="J209" s="97"/>
      <c r="L209" s="97"/>
      <c r="Q209" s="97"/>
    </row>
    <row r="210" ht="15.75" customHeight="1">
      <c r="D210" s="97"/>
      <c r="E210" s="97"/>
      <c r="F210" s="97"/>
      <c r="G210" s="97"/>
      <c r="H210" s="97"/>
      <c r="J210" s="97"/>
      <c r="L210" s="97"/>
      <c r="Q210" s="97"/>
    </row>
    <row r="211" ht="15.75" customHeight="1">
      <c r="D211" s="97"/>
      <c r="E211" s="97"/>
      <c r="F211" s="97"/>
      <c r="G211" s="97"/>
      <c r="H211" s="97"/>
      <c r="J211" s="97"/>
      <c r="L211" s="97"/>
      <c r="Q211" s="97"/>
    </row>
    <row r="212" ht="15.75" customHeight="1">
      <c r="D212" s="97"/>
      <c r="E212" s="97"/>
      <c r="F212" s="97"/>
      <c r="G212" s="97"/>
      <c r="H212" s="97"/>
      <c r="J212" s="97"/>
      <c r="L212" s="97"/>
      <c r="Q212" s="97"/>
    </row>
    <row r="213" ht="15.75" customHeight="1">
      <c r="D213" s="97"/>
      <c r="E213" s="97"/>
      <c r="F213" s="97"/>
      <c r="G213" s="97"/>
      <c r="H213" s="97"/>
      <c r="J213" s="97"/>
      <c r="L213" s="97"/>
      <c r="Q213" s="97"/>
    </row>
    <row r="214" ht="15.75" customHeight="1">
      <c r="D214" s="97"/>
      <c r="E214" s="97"/>
      <c r="F214" s="97"/>
      <c r="G214" s="97"/>
      <c r="H214" s="97"/>
      <c r="J214" s="97"/>
      <c r="L214" s="97"/>
      <c r="Q214" s="97"/>
    </row>
    <row r="215" ht="15.75" customHeight="1">
      <c r="D215" s="97"/>
      <c r="E215" s="97"/>
      <c r="F215" s="97"/>
      <c r="G215" s="97"/>
      <c r="H215" s="97"/>
      <c r="J215" s="97"/>
      <c r="L215" s="97"/>
      <c r="Q215" s="97"/>
    </row>
    <row r="216" ht="15.75" customHeight="1">
      <c r="D216" s="97"/>
      <c r="E216" s="97"/>
      <c r="F216" s="97"/>
      <c r="G216" s="97"/>
      <c r="H216" s="97"/>
      <c r="J216" s="97"/>
      <c r="L216" s="97"/>
      <c r="Q216" s="97"/>
    </row>
    <row r="217" ht="15.75" customHeight="1">
      <c r="D217" s="97"/>
      <c r="E217" s="97"/>
      <c r="F217" s="97"/>
      <c r="G217" s="97"/>
      <c r="H217" s="97"/>
      <c r="J217" s="97"/>
      <c r="L217" s="97"/>
      <c r="Q217" s="97"/>
    </row>
    <row r="218" ht="15.75" customHeight="1">
      <c r="D218" s="97"/>
      <c r="E218" s="97"/>
      <c r="F218" s="97"/>
      <c r="G218" s="97"/>
      <c r="H218" s="97"/>
      <c r="J218" s="97"/>
      <c r="L218" s="97"/>
      <c r="Q218" s="97"/>
    </row>
    <row r="219" ht="15.75" customHeight="1">
      <c r="D219" s="97"/>
      <c r="E219" s="97"/>
      <c r="F219" s="97"/>
      <c r="G219" s="97"/>
      <c r="H219" s="97"/>
      <c r="J219" s="97"/>
      <c r="L219" s="97"/>
      <c r="Q219" s="97"/>
    </row>
    <row r="220" ht="15.75" customHeight="1">
      <c r="D220" s="97"/>
      <c r="E220" s="97"/>
      <c r="F220" s="97"/>
      <c r="G220" s="97"/>
      <c r="H220" s="97"/>
      <c r="J220" s="97"/>
      <c r="L220" s="97"/>
      <c r="Q220" s="97"/>
    </row>
    <row r="221" ht="15.75" customHeight="1">
      <c r="D221" s="97"/>
      <c r="E221" s="97"/>
      <c r="F221" s="97"/>
      <c r="G221" s="97"/>
      <c r="H221" s="97"/>
      <c r="J221" s="97"/>
      <c r="L221" s="97"/>
      <c r="Q221" s="97"/>
    </row>
    <row r="222" ht="15.75" customHeight="1">
      <c r="D222" s="97"/>
      <c r="E222" s="97"/>
      <c r="F222" s="97"/>
      <c r="G222" s="97"/>
      <c r="H222" s="97"/>
      <c r="J222" s="97"/>
      <c r="L222" s="97"/>
      <c r="Q222" s="97"/>
    </row>
    <row r="223" ht="15.75" customHeight="1">
      <c r="D223" s="97"/>
      <c r="E223" s="97"/>
      <c r="F223" s="97"/>
      <c r="G223" s="97"/>
      <c r="H223" s="97"/>
      <c r="J223" s="97"/>
      <c r="L223" s="97"/>
      <c r="Q223" s="97"/>
    </row>
    <row r="224" ht="15.75" customHeight="1">
      <c r="D224" s="97"/>
      <c r="E224" s="97"/>
      <c r="F224" s="97"/>
      <c r="G224" s="97"/>
      <c r="H224" s="97"/>
      <c r="J224" s="97"/>
      <c r="L224" s="97"/>
      <c r="Q224" s="97"/>
    </row>
    <row r="225" ht="15.75" customHeight="1">
      <c r="D225" s="97"/>
      <c r="E225" s="97"/>
      <c r="F225" s="97"/>
      <c r="G225" s="97"/>
      <c r="H225" s="97"/>
      <c r="J225" s="97"/>
      <c r="L225" s="97"/>
      <c r="Q225" s="97"/>
    </row>
    <row r="226" ht="15.75" customHeight="1">
      <c r="D226" s="97"/>
      <c r="E226" s="97"/>
      <c r="F226" s="97"/>
      <c r="G226" s="97"/>
      <c r="H226" s="97"/>
      <c r="J226" s="97"/>
      <c r="L226" s="97"/>
      <c r="Q226" s="97"/>
    </row>
    <row r="227" ht="15.75" customHeight="1">
      <c r="D227" s="97"/>
      <c r="E227" s="97"/>
      <c r="F227" s="97"/>
      <c r="G227" s="97"/>
      <c r="H227" s="97"/>
      <c r="J227" s="97"/>
      <c r="L227" s="97"/>
      <c r="Q227" s="97"/>
    </row>
    <row r="228" ht="15.75" customHeight="1">
      <c r="D228" s="97"/>
      <c r="E228" s="97"/>
      <c r="F228" s="97"/>
      <c r="G228" s="97"/>
      <c r="H228" s="97"/>
      <c r="J228" s="97"/>
      <c r="L228" s="97"/>
      <c r="Q228" s="97"/>
    </row>
    <row r="229" ht="15.75" customHeight="1">
      <c r="D229" s="97"/>
      <c r="E229" s="97"/>
      <c r="F229" s="97"/>
      <c r="G229" s="97"/>
      <c r="H229" s="97"/>
      <c r="J229" s="97"/>
      <c r="L229" s="97"/>
      <c r="Q229" s="97"/>
    </row>
    <row r="230" ht="15.75" customHeight="1">
      <c r="D230" s="97"/>
      <c r="E230" s="97"/>
      <c r="F230" s="97"/>
      <c r="G230" s="97"/>
      <c r="H230" s="97"/>
      <c r="J230" s="97"/>
      <c r="L230" s="97"/>
      <c r="Q230" s="97"/>
    </row>
    <row r="231" ht="15.75" customHeight="1">
      <c r="D231" s="97"/>
      <c r="E231" s="97"/>
      <c r="F231" s="97"/>
      <c r="G231" s="97"/>
      <c r="H231" s="97"/>
      <c r="J231" s="97"/>
      <c r="L231" s="97"/>
      <c r="Q231" s="97"/>
    </row>
    <row r="232" ht="15.75" customHeight="1">
      <c r="D232" s="97"/>
      <c r="E232" s="97"/>
      <c r="F232" s="97"/>
      <c r="G232" s="97"/>
      <c r="H232" s="97"/>
      <c r="J232" s="97"/>
      <c r="L232" s="97"/>
      <c r="Q232" s="97"/>
    </row>
    <row r="233" ht="15.75" customHeight="1">
      <c r="D233" s="97"/>
      <c r="E233" s="97"/>
      <c r="F233" s="97"/>
      <c r="G233" s="97"/>
      <c r="H233" s="97"/>
      <c r="J233" s="97"/>
      <c r="L233" s="97"/>
      <c r="Q233" s="97"/>
    </row>
    <row r="234" ht="15.75" customHeight="1">
      <c r="D234" s="97"/>
      <c r="E234" s="97"/>
      <c r="F234" s="97"/>
      <c r="G234" s="97"/>
      <c r="H234" s="97"/>
      <c r="J234" s="97"/>
      <c r="L234" s="97"/>
      <c r="Q234" s="97"/>
    </row>
    <row r="235" ht="15.75" customHeight="1">
      <c r="D235" s="97"/>
      <c r="E235" s="97"/>
      <c r="F235" s="97"/>
      <c r="G235" s="97"/>
      <c r="H235" s="97"/>
      <c r="J235" s="97"/>
      <c r="L235" s="97"/>
      <c r="Q235" s="97"/>
    </row>
    <row r="236" ht="15.75" customHeight="1">
      <c r="D236" s="97"/>
      <c r="E236" s="97"/>
      <c r="F236" s="97"/>
      <c r="G236" s="97"/>
      <c r="H236" s="97"/>
      <c r="J236" s="97"/>
      <c r="L236" s="97"/>
      <c r="Q236" s="97"/>
    </row>
    <row r="237" ht="15.75" customHeight="1">
      <c r="D237" s="97"/>
      <c r="E237" s="97"/>
      <c r="F237" s="97"/>
      <c r="G237" s="97"/>
      <c r="H237" s="97"/>
      <c r="J237" s="97"/>
      <c r="L237" s="97"/>
      <c r="Q237" s="97"/>
    </row>
    <row r="238" ht="15.75" customHeight="1">
      <c r="D238" s="97"/>
      <c r="E238" s="97"/>
      <c r="F238" s="97"/>
      <c r="G238" s="97"/>
      <c r="H238" s="97"/>
      <c r="J238" s="97"/>
      <c r="L238" s="97"/>
      <c r="Q238" s="97"/>
    </row>
    <row r="239" ht="15.75" customHeight="1">
      <c r="D239" s="97"/>
      <c r="E239" s="97"/>
      <c r="F239" s="97"/>
      <c r="G239" s="97"/>
      <c r="H239" s="97"/>
      <c r="J239" s="97"/>
      <c r="L239" s="97"/>
      <c r="Q239" s="97"/>
    </row>
    <row r="240" ht="15.75" customHeight="1">
      <c r="D240" s="97"/>
      <c r="E240" s="97"/>
      <c r="F240" s="97"/>
      <c r="G240" s="97"/>
      <c r="H240" s="97"/>
      <c r="J240" s="97"/>
      <c r="L240" s="97"/>
      <c r="Q240" s="97"/>
    </row>
    <row r="241" ht="15.75" customHeight="1">
      <c r="D241" s="97"/>
      <c r="E241" s="97"/>
      <c r="F241" s="97"/>
      <c r="G241" s="97"/>
      <c r="H241" s="97"/>
      <c r="J241" s="97"/>
      <c r="L241" s="97"/>
      <c r="Q241" s="97"/>
    </row>
    <row r="242" ht="15.75" customHeight="1">
      <c r="D242" s="97"/>
      <c r="E242" s="97"/>
      <c r="F242" s="97"/>
      <c r="G242" s="97"/>
      <c r="H242" s="97"/>
      <c r="J242" s="97"/>
      <c r="L242" s="97"/>
      <c r="Q242" s="97"/>
    </row>
    <row r="243" ht="15.75" customHeight="1">
      <c r="D243" s="97"/>
      <c r="E243" s="97"/>
      <c r="F243" s="97"/>
      <c r="G243" s="97"/>
      <c r="H243" s="97"/>
      <c r="J243" s="97"/>
      <c r="L243" s="97"/>
      <c r="Q243" s="97"/>
    </row>
    <row r="244" ht="15.75" customHeight="1">
      <c r="D244" s="97"/>
      <c r="E244" s="97"/>
      <c r="F244" s="97"/>
      <c r="G244" s="97"/>
      <c r="H244" s="97"/>
      <c r="J244" s="97"/>
      <c r="L244" s="97"/>
      <c r="Q244" s="97"/>
    </row>
    <row r="245" ht="15.75" customHeight="1">
      <c r="D245" s="97"/>
      <c r="E245" s="97"/>
      <c r="F245" s="97"/>
      <c r="G245" s="97"/>
      <c r="H245" s="97"/>
      <c r="J245" s="97"/>
      <c r="L245" s="97"/>
      <c r="Q245" s="97"/>
    </row>
    <row r="246" ht="15.75" customHeight="1">
      <c r="D246" s="97"/>
      <c r="E246" s="97"/>
      <c r="F246" s="97"/>
      <c r="G246" s="97"/>
      <c r="H246" s="97"/>
      <c r="J246" s="97"/>
      <c r="L246" s="97"/>
      <c r="Q246" s="97"/>
    </row>
    <row r="247" ht="15.75" customHeight="1">
      <c r="D247" s="97"/>
      <c r="E247" s="97"/>
      <c r="F247" s="97"/>
      <c r="G247" s="97"/>
      <c r="H247" s="97"/>
      <c r="J247" s="97"/>
      <c r="L247" s="97"/>
      <c r="Q247" s="97"/>
    </row>
    <row r="248" ht="15.75" customHeight="1">
      <c r="D248" s="97"/>
      <c r="E248" s="97"/>
      <c r="F248" s="97"/>
      <c r="G248" s="97"/>
      <c r="H248" s="97"/>
      <c r="J248" s="97"/>
      <c r="L248" s="97"/>
      <c r="Q248" s="97"/>
    </row>
    <row r="249" ht="15.75" customHeight="1">
      <c r="D249" s="97"/>
      <c r="E249" s="97"/>
      <c r="F249" s="97"/>
      <c r="G249" s="97"/>
      <c r="H249" s="97"/>
      <c r="J249" s="97"/>
      <c r="L249" s="97"/>
      <c r="Q249" s="97"/>
    </row>
    <row r="250" ht="15.75" customHeight="1">
      <c r="D250" s="97"/>
      <c r="E250" s="97"/>
      <c r="F250" s="97"/>
      <c r="G250" s="97"/>
      <c r="H250" s="97"/>
      <c r="J250" s="97"/>
      <c r="L250" s="97"/>
      <c r="Q250" s="97"/>
    </row>
    <row r="251" ht="15.75" customHeight="1">
      <c r="D251" s="97"/>
      <c r="E251" s="97"/>
      <c r="F251" s="97"/>
      <c r="G251" s="97"/>
      <c r="H251" s="97"/>
      <c r="J251" s="97"/>
      <c r="L251" s="97"/>
      <c r="Q251" s="97"/>
    </row>
    <row r="252" ht="15.75" customHeight="1">
      <c r="D252" s="97"/>
      <c r="E252" s="97"/>
      <c r="F252" s="97"/>
      <c r="G252" s="97"/>
      <c r="H252" s="97"/>
      <c r="J252" s="97"/>
      <c r="L252" s="97"/>
      <c r="Q252" s="97"/>
    </row>
    <row r="253" ht="15.75" customHeight="1">
      <c r="D253" s="97"/>
      <c r="E253" s="97"/>
      <c r="F253" s="97"/>
      <c r="G253" s="97"/>
      <c r="H253" s="97"/>
      <c r="J253" s="97"/>
      <c r="L253" s="97"/>
      <c r="Q253" s="97"/>
    </row>
    <row r="254" ht="15.75" customHeight="1">
      <c r="D254" s="97"/>
      <c r="E254" s="97"/>
      <c r="F254" s="97"/>
      <c r="G254" s="97"/>
      <c r="H254" s="97"/>
      <c r="J254" s="97"/>
      <c r="L254" s="97"/>
      <c r="Q254" s="97"/>
    </row>
    <row r="255" ht="15.75" customHeight="1">
      <c r="D255" s="97"/>
      <c r="E255" s="97"/>
      <c r="F255" s="97"/>
      <c r="G255" s="97"/>
      <c r="H255" s="97"/>
      <c r="J255" s="97"/>
      <c r="L255" s="97"/>
      <c r="Q255" s="97"/>
    </row>
    <row r="256" ht="15.75" customHeight="1">
      <c r="D256" s="97"/>
      <c r="E256" s="97"/>
      <c r="F256" s="97"/>
      <c r="G256" s="97"/>
      <c r="H256" s="97"/>
      <c r="J256" s="97"/>
      <c r="L256" s="97"/>
      <c r="Q256" s="97"/>
    </row>
    <row r="257" ht="15.75" customHeight="1">
      <c r="D257" s="97"/>
      <c r="E257" s="97"/>
      <c r="F257" s="97"/>
      <c r="G257" s="97"/>
      <c r="H257" s="97"/>
      <c r="J257" s="97"/>
      <c r="L257" s="97"/>
      <c r="Q257" s="97"/>
    </row>
    <row r="258" ht="15.75" customHeight="1">
      <c r="D258" s="97"/>
      <c r="E258" s="97"/>
      <c r="F258" s="97"/>
      <c r="G258" s="97"/>
      <c r="H258" s="97"/>
      <c r="J258" s="97"/>
      <c r="L258" s="97"/>
      <c r="Q258" s="97"/>
    </row>
    <row r="259" ht="15.75" customHeight="1">
      <c r="D259" s="97"/>
      <c r="E259" s="97"/>
      <c r="F259" s="97"/>
      <c r="G259" s="97"/>
      <c r="H259" s="97"/>
      <c r="J259" s="97"/>
      <c r="L259" s="97"/>
      <c r="Q259" s="97"/>
    </row>
    <row r="260" ht="15.75" customHeight="1">
      <c r="D260" s="97"/>
      <c r="E260" s="97"/>
      <c r="F260" s="97"/>
      <c r="G260" s="97"/>
      <c r="H260" s="97"/>
      <c r="J260" s="97"/>
      <c r="L260" s="97"/>
      <c r="Q260" s="97"/>
    </row>
    <row r="261" ht="15.75" customHeight="1">
      <c r="D261" s="97"/>
      <c r="E261" s="97"/>
      <c r="F261" s="97"/>
      <c r="G261" s="97"/>
      <c r="H261" s="97"/>
      <c r="J261" s="97"/>
      <c r="L261" s="97"/>
      <c r="Q261" s="97"/>
    </row>
    <row r="262" ht="15.75" customHeight="1">
      <c r="D262" s="97"/>
      <c r="E262" s="97"/>
      <c r="F262" s="97"/>
      <c r="G262" s="97"/>
      <c r="H262" s="97"/>
      <c r="J262" s="97"/>
      <c r="L262" s="97"/>
      <c r="Q262" s="97"/>
    </row>
    <row r="263" ht="15.75" customHeight="1">
      <c r="D263" s="97"/>
      <c r="E263" s="97"/>
      <c r="F263" s="97"/>
      <c r="G263" s="97"/>
      <c r="H263" s="97"/>
      <c r="J263" s="97"/>
      <c r="L263" s="97"/>
      <c r="Q263" s="97"/>
    </row>
    <row r="264" ht="15.75" customHeight="1">
      <c r="D264" s="97"/>
      <c r="E264" s="97"/>
      <c r="F264" s="97"/>
      <c r="G264" s="97"/>
      <c r="H264" s="97"/>
      <c r="J264" s="97"/>
      <c r="L264" s="97"/>
      <c r="Q264" s="97"/>
    </row>
    <row r="265" ht="15.75" customHeight="1">
      <c r="D265" s="97"/>
      <c r="E265" s="97"/>
      <c r="F265" s="97"/>
      <c r="G265" s="97"/>
      <c r="H265" s="97"/>
      <c r="J265" s="97"/>
      <c r="L265" s="97"/>
      <c r="Q265" s="97"/>
    </row>
    <row r="266" ht="15.75" customHeight="1">
      <c r="D266" s="97"/>
      <c r="E266" s="97"/>
      <c r="F266" s="97"/>
      <c r="G266" s="97"/>
      <c r="H266" s="97"/>
      <c r="J266" s="97"/>
      <c r="L266" s="97"/>
      <c r="Q266" s="97"/>
    </row>
    <row r="267" ht="15.75" customHeight="1">
      <c r="D267" s="97"/>
      <c r="E267" s="97"/>
      <c r="F267" s="97"/>
      <c r="G267" s="97"/>
      <c r="H267" s="97"/>
      <c r="J267" s="97"/>
      <c r="L267" s="97"/>
      <c r="Q267" s="97"/>
    </row>
    <row r="268" ht="15.75" customHeight="1">
      <c r="D268" s="97"/>
      <c r="E268" s="97"/>
      <c r="F268" s="97"/>
      <c r="G268" s="97"/>
      <c r="H268" s="97"/>
      <c r="J268" s="97"/>
      <c r="L268" s="97"/>
      <c r="Q268" s="97"/>
    </row>
    <row r="269" ht="15.75" customHeight="1">
      <c r="D269" s="97"/>
      <c r="E269" s="97"/>
      <c r="F269" s="97"/>
      <c r="G269" s="97"/>
      <c r="H269" s="97"/>
      <c r="J269" s="97"/>
      <c r="L269" s="97"/>
      <c r="Q269" s="97"/>
    </row>
    <row r="270" ht="15.75" customHeight="1">
      <c r="D270" s="97"/>
      <c r="E270" s="97"/>
      <c r="F270" s="97"/>
      <c r="G270" s="97"/>
      <c r="H270" s="97"/>
      <c r="J270" s="97"/>
      <c r="L270" s="97"/>
      <c r="Q270" s="97"/>
    </row>
    <row r="271" ht="15.75" customHeight="1">
      <c r="D271" s="97"/>
      <c r="E271" s="97"/>
      <c r="F271" s="97"/>
      <c r="G271" s="97"/>
      <c r="H271" s="97"/>
      <c r="J271" s="97"/>
      <c r="L271" s="97"/>
      <c r="Q271" s="97"/>
    </row>
    <row r="272" ht="15.75" customHeight="1">
      <c r="D272" s="97"/>
      <c r="E272" s="97"/>
      <c r="F272" s="97"/>
      <c r="G272" s="97"/>
      <c r="H272" s="97"/>
      <c r="J272" s="97"/>
      <c r="L272" s="97"/>
      <c r="Q272" s="97"/>
    </row>
    <row r="273" ht="15.75" customHeight="1">
      <c r="D273" s="97"/>
      <c r="E273" s="97"/>
      <c r="F273" s="97"/>
      <c r="G273" s="97"/>
      <c r="H273" s="97"/>
      <c r="J273" s="97"/>
      <c r="L273" s="97"/>
      <c r="Q273" s="97"/>
    </row>
    <row r="274" ht="15.75" customHeight="1">
      <c r="D274" s="97"/>
      <c r="E274" s="97"/>
      <c r="F274" s="97"/>
      <c r="G274" s="97"/>
      <c r="H274" s="97"/>
      <c r="J274" s="97"/>
      <c r="L274" s="97"/>
      <c r="Q274" s="97"/>
    </row>
    <row r="275" ht="15.75" customHeight="1">
      <c r="D275" s="97"/>
      <c r="E275" s="97"/>
      <c r="F275" s="97"/>
      <c r="G275" s="97"/>
      <c r="H275" s="97"/>
      <c r="J275" s="97"/>
      <c r="L275" s="97"/>
      <c r="Q275" s="97"/>
    </row>
    <row r="276" ht="15.75" customHeight="1">
      <c r="D276" s="97"/>
      <c r="E276" s="97"/>
      <c r="F276" s="97"/>
      <c r="G276" s="97"/>
      <c r="H276" s="97"/>
      <c r="J276" s="97"/>
      <c r="L276" s="97"/>
      <c r="Q276" s="97"/>
    </row>
    <row r="277" ht="15.75" customHeight="1">
      <c r="D277" s="97"/>
      <c r="E277" s="97"/>
      <c r="F277" s="97"/>
      <c r="G277" s="97"/>
      <c r="H277" s="97"/>
      <c r="J277" s="97"/>
      <c r="L277" s="97"/>
      <c r="Q277" s="97"/>
    </row>
    <row r="278" ht="15.75" customHeight="1">
      <c r="D278" s="97"/>
      <c r="E278" s="97"/>
      <c r="F278" s="97"/>
      <c r="G278" s="97"/>
      <c r="H278" s="97"/>
      <c r="J278" s="97"/>
      <c r="L278" s="97"/>
      <c r="Q278" s="97"/>
    </row>
    <row r="279" ht="15.75" customHeight="1">
      <c r="D279" s="97"/>
      <c r="E279" s="97"/>
      <c r="F279" s="97"/>
      <c r="G279" s="97"/>
      <c r="H279" s="97"/>
      <c r="J279" s="97"/>
      <c r="L279" s="97"/>
      <c r="Q279" s="97"/>
    </row>
    <row r="280" ht="15.75" customHeight="1">
      <c r="D280" s="97"/>
      <c r="E280" s="97"/>
      <c r="F280" s="97"/>
      <c r="G280" s="97"/>
      <c r="H280" s="97"/>
      <c r="J280" s="97"/>
      <c r="L280" s="97"/>
      <c r="Q280" s="97"/>
    </row>
    <row r="281" ht="15.75" customHeight="1">
      <c r="D281" s="97"/>
      <c r="E281" s="97"/>
      <c r="F281" s="97"/>
      <c r="G281" s="97"/>
      <c r="H281" s="97"/>
      <c r="J281" s="97"/>
      <c r="L281" s="97"/>
      <c r="Q281" s="97"/>
    </row>
    <row r="282" ht="15.75" customHeight="1">
      <c r="D282" s="97"/>
      <c r="E282" s="97"/>
      <c r="F282" s="97"/>
      <c r="G282" s="97"/>
      <c r="H282" s="97"/>
      <c r="J282" s="97"/>
      <c r="L282" s="97"/>
      <c r="Q282" s="97"/>
    </row>
    <row r="283" ht="15.75" customHeight="1">
      <c r="D283" s="97"/>
      <c r="E283" s="97"/>
      <c r="F283" s="97"/>
      <c r="G283" s="97"/>
      <c r="H283" s="97"/>
      <c r="J283" s="97"/>
      <c r="L283" s="97"/>
      <c r="Q283" s="97"/>
    </row>
    <row r="284" ht="15.75" customHeight="1">
      <c r="D284" s="97"/>
      <c r="E284" s="97"/>
      <c r="F284" s="97"/>
      <c r="G284" s="97"/>
      <c r="H284" s="97"/>
      <c r="J284" s="97"/>
      <c r="L284" s="97"/>
      <c r="Q284" s="97"/>
    </row>
    <row r="285" ht="15.75" customHeight="1">
      <c r="D285" s="97"/>
      <c r="E285" s="97"/>
      <c r="F285" s="97"/>
      <c r="G285" s="97"/>
      <c r="H285" s="97"/>
      <c r="J285" s="97"/>
      <c r="L285" s="97"/>
      <c r="Q285" s="97"/>
    </row>
    <row r="286" ht="15.75" customHeight="1">
      <c r="D286" s="97"/>
      <c r="E286" s="97"/>
      <c r="F286" s="97"/>
      <c r="G286" s="97"/>
      <c r="H286" s="97"/>
      <c r="J286" s="97"/>
      <c r="L286" s="97"/>
      <c r="Q286" s="97"/>
    </row>
    <row r="287" ht="15.75" customHeight="1">
      <c r="D287" s="97"/>
      <c r="E287" s="97"/>
      <c r="F287" s="97"/>
      <c r="G287" s="97"/>
      <c r="H287" s="97"/>
      <c r="J287" s="97"/>
      <c r="L287" s="97"/>
      <c r="Q287" s="97"/>
    </row>
    <row r="288" ht="15.75" customHeight="1">
      <c r="D288" s="97"/>
      <c r="E288" s="97"/>
      <c r="F288" s="97"/>
      <c r="G288" s="97"/>
      <c r="H288" s="97"/>
      <c r="J288" s="97"/>
      <c r="L288" s="97"/>
      <c r="Q288" s="97"/>
    </row>
    <row r="289" ht="15.75" customHeight="1">
      <c r="D289" s="97"/>
      <c r="E289" s="97"/>
      <c r="F289" s="97"/>
      <c r="G289" s="97"/>
      <c r="H289" s="97"/>
      <c r="J289" s="97"/>
      <c r="L289" s="97"/>
      <c r="Q289" s="97"/>
    </row>
    <row r="290" ht="15.75" customHeight="1">
      <c r="D290" s="97"/>
      <c r="E290" s="97"/>
      <c r="F290" s="97"/>
      <c r="G290" s="97"/>
      <c r="H290" s="97"/>
      <c r="J290" s="97"/>
      <c r="L290" s="97"/>
      <c r="Q290" s="97"/>
    </row>
    <row r="291" ht="15.75" customHeight="1">
      <c r="D291" s="97"/>
      <c r="E291" s="97"/>
      <c r="F291" s="97"/>
      <c r="G291" s="97"/>
      <c r="H291" s="97"/>
      <c r="J291" s="97"/>
      <c r="L291" s="97"/>
      <c r="Q291" s="97"/>
    </row>
    <row r="292" ht="15.75" customHeight="1">
      <c r="D292" s="97"/>
      <c r="E292" s="97"/>
      <c r="F292" s="97"/>
      <c r="G292" s="97"/>
      <c r="H292" s="97"/>
      <c r="J292" s="97"/>
      <c r="L292" s="97"/>
      <c r="Q292" s="97"/>
    </row>
    <row r="293" ht="15.75" customHeight="1">
      <c r="D293" s="97"/>
      <c r="E293" s="97"/>
      <c r="F293" s="97"/>
      <c r="G293" s="97"/>
      <c r="H293" s="97"/>
      <c r="J293" s="97"/>
      <c r="L293" s="97"/>
      <c r="Q293" s="97"/>
    </row>
    <row r="294" ht="15.75" customHeight="1">
      <c r="D294" s="97"/>
      <c r="E294" s="97"/>
      <c r="F294" s="97"/>
      <c r="G294" s="97"/>
      <c r="H294" s="97"/>
      <c r="J294" s="97"/>
      <c r="L294" s="97"/>
      <c r="Q294" s="97"/>
    </row>
    <row r="295" ht="15.75" customHeight="1">
      <c r="D295" s="97"/>
      <c r="E295" s="97"/>
      <c r="F295" s="97"/>
      <c r="G295" s="97"/>
      <c r="H295" s="97"/>
      <c r="J295" s="97"/>
      <c r="L295" s="97"/>
      <c r="Q295" s="97"/>
    </row>
    <row r="296" ht="15.75" customHeight="1">
      <c r="D296" s="97"/>
      <c r="E296" s="97"/>
      <c r="F296" s="97"/>
      <c r="G296" s="97"/>
      <c r="H296" s="97"/>
      <c r="J296" s="97"/>
      <c r="L296" s="97"/>
      <c r="Q296" s="97"/>
    </row>
    <row r="297" ht="15.75" customHeight="1">
      <c r="D297" s="97"/>
      <c r="E297" s="97"/>
      <c r="F297" s="97"/>
      <c r="G297" s="97"/>
      <c r="H297" s="97"/>
      <c r="J297" s="97"/>
      <c r="L297" s="97"/>
      <c r="Q297" s="97"/>
    </row>
    <row r="298" ht="15.75" customHeight="1">
      <c r="D298" s="97"/>
      <c r="E298" s="97"/>
      <c r="F298" s="97"/>
      <c r="G298" s="97"/>
      <c r="H298" s="97"/>
      <c r="J298" s="97"/>
      <c r="L298" s="97"/>
      <c r="Q298" s="97"/>
    </row>
    <row r="299" ht="15.75" customHeight="1">
      <c r="D299" s="97"/>
      <c r="E299" s="97"/>
      <c r="F299" s="97"/>
      <c r="G299" s="97"/>
      <c r="H299" s="97"/>
      <c r="J299" s="97"/>
      <c r="L299" s="97"/>
      <c r="Q299" s="97"/>
    </row>
    <row r="300" ht="15.75" customHeight="1">
      <c r="D300" s="97"/>
      <c r="E300" s="97"/>
      <c r="F300" s="97"/>
      <c r="G300" s="97"/>
      <c r="H300" s="97"/>
      <c r="J300" s="97"/>
      <c r="L300" s="97"/>
      <c r="Q300" s="97"/>
    </row>
    <row r="301" ht="15.75" customHeight="1">
      <c r="D301" s="97"/>
      <c r="E301" s="97"/>
      <c r="F301" s="97"/>
      <c r="G301" s="97"/>
      <c r="H301" s="97"/>
      <c r="J301" s="97"/>
      <c r="L301" s="97"/>
      <c r="Q301" s="97"/>
    </row>
    <row r="302" ht="15.75" customHeight="1">
      <c r="D302" s="97"/>
      <c r="E302" s="97"/>
      <c r="F302" s="97"/>
      <c r="G302" s="97"/>
      <c r="H302" s="97"/>
      <c r="J302" s="97"/>
      <c r="L302" s="97"/>
      <c r="Q302" s="97"/>
    </row>
    <row r="303" ht="15.75" customHeight="1">
      <c r="D303" s="97"/>
      <c r="E303" s="97"/>
      <c r="F303" s="97"/>
      <c r="G303" s="97"/>
      <c r="H303" s="97"/>
      <c r="J303" s="97"/>
      <c r="L303" s="97"/>
      <c r="Q303" s="97"/>
    </row>
    <row r="304" ht="15.75" customHeight="1">
      <c r="D304" s="97"/>
      <c r="E304" s="97"/>
      <c r="F304" s="97"/>
      <c r="G304" s="97"/>
      <c r="H304" s="97"/>
      <c r="J304" s="97"/>
      <c r="L304" s="97"/>
      <c r="Q304" s="97"/>
    </row>
    <row r="305" ht="15.75" customHeight="1">
      <c r="D305" s="97"/>
      <c r="E305" s="97"/>
      <c r="F305" s="97"/>
      <c r="G305" s="97"/>
      <c r="H305" s="97"/>
      <c r="J305" s="97"/>
      <c r="L305" s="97"/>
      <c r="Q305" s="97"/>
    </row>
    <row r="306" ht="15.75" customHeight="1">
      <c r="D306" s="97"/>
      <c r="E306" s="97"/>
      <c r="F306" s="97"/>
      <c r="G306" s="97"/>
      <c r="H306" s="97"/>
      <c r="J306" s="97"/>
      <c r="L306" s="97"/>
      <c r="Q306" s="97"/>
    </row>
    <row r="307" ht="15.75" customHeight="1">
      <c r="D307" s="97"/>
      <c r="E307" s="97"/>
      <c r="F307" s="97"/>
      <c r="G307" s="97"/>
      <c r="H307" s="97"/>
      <c r="J307" s="97"/>
      <c r="L307" s="97"/>
      <c r="Q307" s="97"/>
    </row>
    <row r="308" ht="15.75" customHeight="1">
      <c r="D308" s="97"/>
      <c r="E308" s="97"/>
      <c r="F308" s="97"/>
      <c r="G308" s="97"/>
      <c r="H308" s="97"/>
      <c r="J308" s="97"/>
      <c r="L308" s="97"/>
      <c r="Q308" s="97"/>
    </row>
    <row r="309" ht="15.75" customHeight="1">
      <c r="D309" s="97"/>
      <c r="E309" s="97"/>
      <c r="F309" s="97"/>
      <c r="G309" s="97"/>
      <c r="H309" s="97"/>
      <c r="J309" s="97"/>
      <c r="L309" s="97"/>
      <c r="Q309" s="97"/>
    </row>
    <row r="310" ht="15.75" customHeight="1">
      <c r="D310" s="97"/>
      <c r="E310" s="97"/>
      <c r="F310" s="97"/>
      <c r="G310" s="97"/>
      <c r="H310" s="97"/>
      <c r="J310" s="97"/>
      <c r="L310" s="97"/>
      <c r="Q310" s="97"/>
    </row>
    <row r="311" ht="15.75" customHeight="1">
      <c r="D311" s="97"/>
      <c r="E311" s="97"/>
      <c r="F311" s="97"/>
      <c r="G311" s="97"/>
      <c r="H311" s="97"/>
      <c r="J311" s="97"/>
      <c r="L311" s="97"/>
      <c r="Q311" s="97"/>
    </row>
    <row r="312" ht="15.75" customHeight="1">
      <c r="D312" s="97"/>
      <c r="E312" s="97"/>
      <c r="F312" s="97"/>
      <c r="G312" s="97"/>
      <c r="H312" s="97"/>
      <c r="J312" s="97"/>
      <c r="L312" s="97"/>
      <c r="Q312" s="97"/>
    </row>
    <row r="313" ht="15.75" customHeight="1">
      <c r="D313" s="97"/>
      <c r="E313" s="97"/>
      <c r="F313" s="97"/>
      <c r="G313" s="97"/>
      <c r="H313" s="97"/>
      <c r="J313" s="97"/>
      <c r="L313" s="97"/>
      <c r="Q313" s="97"/>
    </row>
    <row r="314" ht="15.75" customHeight="1">
      <c r="D314" s="97"/>
      <c r="E314" s="97"/>
      <c r="F314" s="97"/>
      <c r="G314" s="97"/>
      <c r="H314" s="97"/>
      <c r="J314" s="97"/>
      <c r="L314" s="97"/>
      <c r="Q314" s="97"/>
    </row>
    <row r="315" ht="15.75" customHeight="1">
      <c r="D315" s="97"/>
      <c r="E315" s="97"/>
      <c r="F315" s="97"/>
      <c r="G315" s="97"/>
      <c r="H315" s="97"/>
      <c r="J315" s="97"/>
      <c r="L315" s="97"/>
      <c r="Q315" s="97"/>
    </row>
    <row r="316" ht="15.75" customHeight="1">
      <c r="D316" s="97"/>
      <c r="E316" s="97"/>
      <c r="F316" s="97"/>
      <c r="G316" s="97"/>
      <c r="H316" s="97"/>
      <c r="J316" s="97"/>
      <c r="L316" s="97"/>
      <c r="Q316" s="97"/>
    </row>
    <row r="317" ht="15.75" customHeight="1">
      <c r="D317" s="97"/>
      <c r="E317" s="97"/>
      <c r="F317" s="97"/>
      <c r="G317" s="97"/>
      <c r="H317" s="97"/>
      <c r="J317" s="97"/>
      <c r="L317" s="97"/>
      <c r="Q317" s="97"/>
    </row>
    <row r="318" ht="15.75" customHeight="1">
      <c r="D318" s="97"/>
      <c r="E318" s="97"/>
      <c r="F318" s="97"/>
      <c r="G318" s="97"/>
      <c r="H318" s="97"/>
      <c r="J318" s="97"/>
      <c r="L318" s="97"/>
      <c r="Q318" s="97"/>
    </row>
    <row r="319" ht="15.75" customHeight="1">
      <c r="D319" s="97"/>
      <c r="E319" s="97"/>
      <c r="F319" s="97"/>
      <c r="G319" s="97"/>
      <c r="H319" s="97"/>
      <c r="J319" s="97"/>
      <c r="L319" s="97"/>
      <c r="Q319" s="97"/>
    </row>
    <row r="320" ht="15.75" customHeight="1">
      <c r="D320" s="97"/>
      <c r="E320" s="97"/>
      <c r="F320" s="97"/>
      <c r="G320" s="97"/>
      <c r="H320" s="97"/>
      <c r="J320" s="97"/>
      <c r="L320" s="97"/>
      <c r="Q320" s="97"/>
    </row>
    <row r="321" ht="15.75" customHeight="1">
      <c r="D321" s="97"/>
      <c r="E321" s="97"/>
      <c r="F321" s="97"/>
      <c r="G321" s="97"/>
      <c r="H321" s="97"/>
      <c r="J321" s="97"/>
      <c r="L321" s="97"/>
      <c r="Q321" s="97"/>
    </row>
    <row r="322" ht="15.75" customHeight="1">
      <c r="D322" s="97"/>
      <c r="E322" s="97"/>
      <c r="F322" s="97"/>
      <c r="G322" s="97"/>
      <c r="H322" s="97"/>
      <c r="J322" s="97"/>
      <c r="L322" s="97"/>
      <c r="Q322" s="97"/>
    </row>
    <row r="323" ht="15.75" customHeight="1">
      <c r="D323" s="97"/>
      <c r="E323" s="97"/>
      <c r="F323" s="97"/>
      <c r="G323" s="97"/>
      <c r="H323" s="97"/>
      <c r="J323" s="97"/>
      <c r="L323" s="97"/>
      <c r="Q323" s="97"/>
    </row>
    <row r="324" ht="15.75" customHeight="1">
      <c r="D324" s="97"/>
      <c r="E324" s="97"/>
      <c r="F324" s="97"/>
      <c r="G324" s="97"/>
      <c r="H324" s="97"/>
      <c r="J324" s="97"/>
      <c r="L324" s="97"/>
      <c r="Q324" s="97"/>
    </row>
    <row r="325" ht="15.75" customHeight="1">
      <c r="D325" s="97"/>
      <c r="E325" s="97"/>
      <c r="F325" s="97"/>
      <c r="G325" s="97"/>
      <c r="H325" s="97"/>
      <c r="J325" s="97"/>
      <c r="L325" s="97"/>
      <c r="Q325" s="97"/>
    </row>
    <row r="326" ht="15.75" customHeight="1">
      <c r="D326" s="97"/>
      <c r="E326" s="97"/>
      <c r="F326" s="97"/>
      <c r="G326" s="97"/>
      <c r="H326" s="97"/>
      <c r="J326" s="97"/>
      <c r="L326" s="97"/>
      <c r="Q326" s="97"/>
    </row>
    <row r="327" ht="15.75" customHeight="1">
      <c r="D327" s="97"/>
      <c r="E327" s="97"/>
      <c r="F327" s="97"/>
      <c r="G327" s="97"/>
      <c r="H327" s="97"/>
      <c r="J327" s="97"/>
      <c r="L327" s="97"/>
      <c r="Q327" s="97"/>
    </row>
    <row r="328" ht="15.75" customHeight="1">
      <c r="D328" s="97"/>
      <c r="E328" s="97"/>
      <c r="F328" s="97"/>
      <c r="G328" s="97"/>
      <c r="H328" s="97"/>
      <c r="J328" s="97"/>
      <c r="L328" s="97"/>
      <c r="Q328" s="97"/>
    </row>
    <row r="329" ht="15.75" customHeight="1">
      <c r="D329" s="97"/>
      <c r="E329" s="97"/>
      <c r="F329" s="97"/>
      <c r="G329" s="97"/>
      <c r="H329" s="97"/>
      <c r="J329" s="97"/>
      <c r="L329" s="97"/>
      <c r="Q329" s="97"/>
    </row>
    <row r="330" ht="15.75" customHeight="1">
      <c r="D330" s="97"/>
      <c r="E330" s="97"/>
      <c r="F330" s="97"/>
      <c r="G330" s="97"/>
      <c r="H330" s="97"/>
      <c r="J330" s="97"/>
      <c r="L330" s="97"/>
      <c r="Q330" s="97"/>
    </row>
    <row r="331" ht="15.75" customHeight="1">
      <c r="D331" s="97"/>
      <c r="E331" s="97"/>
      <c r="F331" s="97"/>
      <c r="G331" s="97"/>
      <c r="H331" s="97"/>
      <c r="J331" s="97"/>
      <c r="L331" s="97"/>
      <c r="Q331" s="97"/>
    </row>
    <row r="332" ht="15.75" customHeight="1">
      <c r="D332" s="97"/>
      <c r="E332" s="97"/>
      <c r="F332" s="97"/>
      <c r="G332" s="97"/>
      <c r="H332" s="97"/>
      <c r="J332" s="97"/>
      <c r="L332" s="97"/>
      <c r="Q332" s="97"/>
    </row>
    <row r="333" ht="15.75" customHeight="1">
      <c r="D333" s="97"/>
      <c r="E333" s="97"/>
      <c r="F333" s="97"/>
      <c r="G333" s="97"/>
      <c r="H333" s="97"/>
      <c r="J333" s="97"/>
      <c r="L333" s="97"/>
      <c r="Q333" s="97"/>
    </row>
    <row r="334" ht="15.75" customHeight="1">
      <c r="D334" s="97"/>
      <c r="E334" s="97"/>
      <c r="F334" s="97"/>
      <c r="G334" s="97"/>
      <c r="H334" s="97"/>
      <c r="J334" s="97"/>
      <c r="L334" s="97"/>
      <c r="Q334" s="97"/>
    </row>
    <row r="335" ht="15.75" customHeight="1">
      <c r="D335" s="97"/>
      <c r="E335" s="97"/>
      <c r="F335" s="97"/>
      <c r="G335" s="97"/>
      <c r="H335" s="97"/>
      <c r="J335" s="97"/>
      <c r="L335" s="97"/>
      <c r="Q335" s="97"/>
    </row>
    <row r="336" ht="15.75" customHeight="1">
      <c r="D336" s="97"/>
      <c r="E336" s="97"/>
      <c r="F336" s="97"/>
      <c r="G336" s="97"/>
      <c r="H336" s="97"/>
      <c r="J336" s="97"/>
      <c r="L336" s="97"/>
      <c r="Q336" s="97"/>
    </row>
    <row r="337" ht="15.75" customHeight="1">
      <c r="D337" s="97"/>
      <c r="E337" s="97"/>
      <c r="F337" s="97"/>
      <c r="G337" s="97"/>
      <c r="H337" s="97"/>
      <c r="J337" s="97"/>
      <c r="L337" s="97"/>
      <c r="Q337" s="97"/>
    </row>
    <row r="338" ht="15.75" customHeight="1">
      <c r="D338" s="97"/>
      <c r="E338" s="97"/>
      <c r="F338" s="97"/>
      <c r="G338" s="97"/>
      <c r="H338" s="97"/>
      <c r="J338" s="97"/>
      <c r="L338" s="97"/>
      <c r="Q338" s="97"/>
    </row>
    <row r="339" ht="15.75" customHeight="1">
      <c r="D339" s="97"/>
      <c r="E339" s="97"/>
      <c r="F339" s="97"/>
      <c r="G339" s="97"/>
      <c r="H339" s="97"/>
      <c r="J339" s="97"/>
      <c r="L339" s="97"/>
      <c r="Q339" s="97"/>
    </row>
    <row r="340" ht="15.75" customHeight="1">
      <c r="D340" s="97"/>
      <c r="E340" s="97"/>
      <c r="F340" s="97"/>
      <c r="G340" s="97"/>
      <c r="H340" s="97"/>
      <c r="J340" s="97"/>
      <c r="L340" s="97"/>
      <c r="Q340" s="97"/>
    </row>
    <row r="341" ht="15.75" customHeight="1">
      <c r="D341" s="97"/>
      <c r="E341" s="97"/>
      <c r="F341" s="97"/>
      <c r="G341" s="97"/>
      <c r="H341" s="97"/>
      <c r="J341" s="97"/>
      <c r="L341" s="97"/>
      <c r="Q341" s="97"/>
    </row>
    <row r="342" ht="15.75" customHeight="1">
      <c r="D342" s="97"/>
      <c r="E342" s="97"/>
      <c r="F342" s="97"/>
      <c r="G342" s="97"/>
      <c r="H342" s="97"/>
      <c r="J342" s="97"/>
      <c r="L342" s="97"/>
      <c r="Q342" s="97"/>
    </row>
    <row r="343" ht="15.75" customHeight="1">
      <c r="D343" s="97"/>
      <c r="E343" s="97"/>
      <c r="F343" s="97"/>
      <c r="G343" s="97"/>
      <c r="H343" s="97"/>
      <c r="J343" s="97"/>
      <c r="L343" s="97"/>
      <c r="Q343" s="97"/>
    </row>
    <row r="344" ht="15.75" customHeight="1">
      <c r="D344" s="97"/>
      <c r="E344" s="97"/>
      <c r="F344" s="97"/>
      <c r="G344" s="97"/>
      <c r="H344" s="97"/>
      <c r="J344" s="97"/>
      <c r="L344" s="97"/>
      <c r="Q344" s="97"/>
    </row>
    <row r="345" ht="15.75" customHeight="1">
      <c r="D345" s="97"/>
      <c r="E345" s="97"/>
      <c r="F345" s="97"/>
      <c r="G345" s="97"/>
      <c r="H345" s="97"/>
      <c r="J345" s="97"/>
      <c r="L345" s="97"/>
      <c r="Q345" s="97"/>
    </row>
    <row r="346" ht="15.75" customHeight="1">
      <c r="D346" s="97"/>
      <c r="E346" s="97"/>
      <c r="F346" s="97"/>
      <c r="G346" s="97"/>
      <c r="H346" s="97"/>
      <c r="J346" s="97"/>
      <c r="L346" s="97"/>
      <c r="Q346" s="97"/>
    </row>
    <row r="347" ht="15.75" customHeight="1">
      <c r="D347" s="97"/>
      <c r="E347" s="97"/>
      <c r="F347" s="97"/>
      <c r="G347" s="97"/>
      <c r="H347" s="97"/>
      <c r="J347" s="97"/>
      <c r="L347" s="97"/>
      <c r="Q347" s="97"/>
    </row>
    <row r="348" ht="15.75" customHeight="1">
      <c r="D348" s="97"/>
      <c r="E348" s="97"/>
      <c r="F348" s="97"/>
      <c r="G348" s="97"/>
      <c r="H348" s="97"/>
      <c r="J348" s="97"/>
      <c r="L348" s="97"/>
      <c r="Q348" s="97"/>
    </row>
    <row r="349" ht="15.75" customHeight="1">
      <c r="D349" s="97"/>
      <c r="E349" s="97"/>
      <c r="F349" s="97"/>
      <c r="G349" s="97"/>
      <c r="H349" s="97"/>
      <c r="J349" s="97"/>
      <c r="L349" s="97"/>
      <c r="Q349" s="97"/>
    </row>
    <row r="350" ht="15.75" customHeight="1">
      <c r="D350" s="97"/>
      <c r="E350" s="97"/>
      <c r="F350" s="97"/>
      <c r="G350" s="97"/>
      <c r="H350" s="97"/>
      <c r="J350" s="97"/>
      <c r="L350" s="97"/>
      <c r="Q350" s="97"/>
    </row>
    <row r="351" ht="15.75" customHeight="1">
      <c r="D351" s="97"/>
      <c r="E351" s="97"/>
      <c r="F351" s="97"/>
      <c r="G351" s="97"/>
      <c r="H351" s="97"/>
      <c r="J351" s="97"/>
      <c r="L351" s="97"/>
      <c r="Q351" s="97"/>
    </row>
    <row r="352" ht="15.75" customHeight="1">
      <c r="D352" s="97"/>
      <c r="E352" s="97"/>
      <c r="F352" s="97"/>
      <c r="G352" s="97"/>
      <c r="H352" s="97"/>
      <c r="J352" s="97"/>
      <c r="L352" s="97"/>
      <c r="Q352" s="97"/>
    </row>
    <row r="353" ht="15.75" customHeight="1">
      <c r="D353" s="97"/>
      <c r="E353" s="97"/>
      <c r="F353" s="97"/>
      <c r="G353" s="97"/>
      <c r="H353" s="97"/>
      <c r="J353" s="97"/>
      <c r="L353" s="97"/>
      <c r="Q353" s="97"/>
    </row>
    <row r="354" ht="15.75" customHeight="1">
      <c r="D354" s="97"/>
      <c r="E354" s="97"/>
      <c r="F354" s="97"/>
      <c r="G354" s="97"/>
      <c r="H354" s="97"/>
      <c r="J354" s="97"/>
      <c r="L354" s="97"/>
      <c r="Q354" s="97"/>
    </row>
    <row r="355" ht="15.75" customHeight="1">
      <c r="D355" s="97"/>
      <c r="E355" s="97"/>
      <c r="F355" s="97"/>
      <c r="G355" s="97"/>
      <c r="H355" s="97"/>
      <c r="J355" s="97"/>
      <c r="L355" s="97"/>
      <c r="Q355" s="97"/>
    </row>
    <row r="356" ht="15.75" customHeight="1">
      <c r="D356" s="97"/>
      <c r="E356" s="97"/>
      <c r="F356" s="97"/>
      <c r="G356" s="97"/>
      <c r="H356" s="97"/>
      <c r="J356" s="97"/>
      <c r="L356" s="97"/>
      <c r="Q356" s="97"/>
    </row>
    <row r="357" ht="15.75" customHeight="1">
      <c r="D357" s="97"/>
      <c r="E357" s="97"/>
      <c r="F357" s="97"/>
      <c r="G357" s="97"/>
      <c r="H357" s="97"/>
      <c r="J357" s="97"/>
      <c r="L357" s="97"/>
      <c r="Q357" s="97"/>
    </row>
    <row r="358" ht="15.75" customHeight="1">
      <c r="D358" s="97"/>
      <c r="E358" s="97"/>
      <c r="F358" s="97"/>
      <c r="G358" s="97"/>
      <c r="H358" s="97"/>
      <c r="J358" s="97"/>
      <c r="L358" s="97"/>
      <c r="Q358" s="97"/>
    </row>
    <row r="359" ht="15.75" customHeight="1">
      <c r="D359" s="97"/>
      <c r="E359" s="97"/>
      <c r="F359" s="97"/>
      <c r="G359" s="97"/>
      <c r="H359" s="97"/>
      <c r="J359" s="97"/>
      <c r="L359" s="97"/>
      <c r="Q359" s="97"/>
    </row>
    <row r="360" ht="15.75" customHeight="1">
      <c r="D360" s="97"/>
      <c r="E360" s="97"/>
      <c r="F360" s="97"/>
      <c r="G360" s="97"/>
      <c r="H360" s="97"/>
      <c r="J360" s="97"/>
      <c r="L360" s="97"/>
      <c r="Q360" s="97"/>
    </row>
    <row r="361" ht="15.75" customHeight="1">
      <c r="D361" s="97"/>
      <c r="E361" s="97"/>
      <c r="F361" s="97"/>
      <c r="G361" s="97"/>
      <c r="H361" s="97"/>
      <c r="J361" s="97"/>
      <c r="L361" s="97"/>
      <c r="Q361" s="97"/>
    </row>
    <row r="362" ht="15.75" customHeight="1">
      <c r="D362" s="97"/>
      <c r="E362" s="97"/>
      <c r="F362" s="97"/>
      <c r="G362" s="97"/>
      <c r="H362" s="97"/>
      <c r="J362" s="97"/>
      <c r="L362" s="97"/>
      <c r="Q362" s="97"/>
    </row>
    <row r="363" ht="15.75" customHeight="1">
      <c r="D363" s="97"/>
      <c r="E363" s="97"/>
      <c r="F363" s="97"/>
      <c r="G363" s="97"/>
      <c r="H363" s="97"/>
      <c r="J363" s="97"/>
      <c r="L363" s="97"/>
      <c r="Q363" s="97"/>
    </row>
    <row r="364" ht="15.75" customHeight="1">
      <c r="D364" s="97"/>
      <c r="E364" s="97"/>
      <c r="F364" s="97"/>
      <c r="G364" s="97"/>
      <c r="H364" s="97"/>
      <c r="J364" s="97"/>
      <c r="L364" s="97"/>
      <c r="Q364" s="97"/>
    </row>
    <row r="365" ht="15.75" customHeight="1">
      <c r="D365" s="97"/>
      <c r="E365" s="97"/>
      <c r="F365" s="97"/>
      <c r="G365" s="97"/>
      <c r="H365" s="97"/>
      <c r="J365" s="97"/>
      <c r="L365" s="97"/>
      <c r="Q365" s="97"/>
    </row>
    <row r="366" ht="15.75" customHeight="1">
      <c r="D366" s="97"/>
      <c r="E366" s="97"/>
      <c r="F366" s="97"/>
      <c r="G366" s="97"/>
      <c r="H366" s="97"/>
      <c r="J366" s="97"/>
      <c r="L366" s="97"/>
      <c r="Q366" s="97"/>
    </row>
    <row r="367" ht="15.75" customHeight="1">
      <c r="D367" s="97"/>
      <c r="E367" s="97"/>
      <c r="F367" s="97"/>
      <c r="G367" s="97"/>
      <c r="H367" s="97"/>
      <c r="J367" s="97"/>
      <c r="L367" s="97"/>
      <c r="Q367" s="97"/>
    </row>
    <row r="368" ht="15.75" customHeight="1">
      <c r="D368" s="97"/>
      <c r="E368" s="97"/>
      <c r="F368" s="97"/>
      <c r="G368" s="97"/>
      <c r="H368" s="97"/>
      <c r="J368" s="97"/>
      <c r="L368" s="97"/>
      <c r="Q368" s="97"/>
    </row>
    <row r="369" ht="15.75" customHeight="1">
      <c r="D369" s="97"/>
      <c r="E369" s="97"/>
      <c r="F369" s="97"/>
      <c r="G369" s="97"/>
      <c r="H369" s="97"/>
      <c r="J369" s="97"/>
      <c r="L369" s="97"/>
      <c r="Q369" s="97"/>
    </row>
    <row r="370" ht="15.75" customHeight="1">
      <c r="D370" s="97"/>
      <c r="E370" s="97"/>
      <c r="F370" s="97"/>
      <c r="G370" s="97"/>
      <c r="H370" s="97"/>
      <c r="J370" s="97"/>
      <c r="L370" s="97"/>
      <c r="Q370" s="97"/>
    </row>
    <row r="371" ht="15.75" customHeight="1">
      <c r="D371" s="97"/>
      <c r="E371" s="97"/>
      <c r="F371" s="97"/>
      <c r="G371" s="97"/>
      <c r="H371" s="97"/>
      <c r="J371" s="97"/>
      <c r="L371" s="97"/>
      <c r="Q371" s="97"/>
    </row>
    <row r="372" ht="15.75" customHeight="1">
      <c r="D372" s="97"/>
      <c r="E372" s="97"/>
      <c r="F372" s="97"/>
      <c r="G372" s="97"/>
      <c r="H372" s="97"/>
      <c r="J372" s="97"/>
      <c r="L372" s="97"/>
      <c r="Q372" s="97"/>
    </row>
    <row r="373" ht="15.75" customHeight="1">
      <c r="D373" s="97"/>
      <c r="E373" s="97"/>
      <c r="F373" s="97"/>
      <c r="G373" s="97"/>
      <c r="H373" s="97"/>
      <c r="J373" s="97"/>
      <c r="L373" s="97"/>
      <c r="Q373" s="97"/>
    </row>
    <row r="374" ht="15.75" customHeight="1">
      <c r="D374" s="97"/>
      <c r="E374" s="97"/>
      <c r="F374" s="97"/>
      <c r="G374" s="97"/>
      <c r="H374" s="97"/>
      <c r="J374" s="97"/>
      <c r="L374" s="97"/>
      <c r="Q374" s="97"/>
    </row>
    <row r="375" ht="15.75" customHeight="1">
      <c r="D375" s="97"/>
      <c r="E375" s="97"/>
      <c r="F375" s="97"/>
      <c r="G375" s="97"/>
      <c r="H375" s="97"/>
      <c r="J375" s="97"/>
      <c r="L375" s="97"/>
      <c r="Q375" s="97"/>
    </row>
    <row r="376" ht="15.75" customHeight="1">
      <c r="D376" s="97"/>
      <c r="E376" s="97"/>
      <c r="F376" s="97"/>
      <c r="G376" s="97"/>
      <c r="H376" s="97"/>
      <c r="J376" s="97"/>
      <c r="L376" s="97"/>
      <c r="Q376" s="97"/>
    </row>
    <row r="377" ht="15.75" customHeight="1">
      <c r="D377" s="97"/>
      <c r="E377" s="97"/>
      <c r="F377" s="97"/>
      <c r="G377" s="97"/>
      <c r="H377" s="97"/>
      <c r="J377" s="97"/>
      <c r="L377" s="97"/>
      <c r="Q377" s="97"/>
    </row>
    <row r="378" ht="15.75" customHeight="1">
      <c r="D378" s="97"/>
      <c r="E378" s="97"/>
      <c r="F378" s="97"/>
      <c r="G378" s="97"/>
      <c r="H378" s="97"/>
      <c r="J378" s="97"/>
      <c r="L378" s="97"/>
      <c r="Q378" s="97"/>
    </row>
    <row r="379" ht="15.75" customHeight="1">
      <c r="D379" s="97"/>
      <c r="E379" s="97"/>
      <c r="F379" s="97"/>
      <c r="G379" s="97"/>
      <c r="H379" s="97"/>
      <c r="J379" s="97"/>
      <c r="L379" s="97"/>
      <c r="Q379" s="97"/>
    </row>
    <row r="380" ht="15.75" customHeight="1">
      <c r="D380" s="97"/>
      <c r="E380" s="97"/>
      <c r="F380" s="97"/>
      <c r="G380" s="97"/>
      <c r="H380" s="97"/>
      <c r="J380" s="97"/>
      <c r="L380" s="97"/>
      <c r="Q380" s="97"/>
    </row>
    <row r="381" ht="15.75" customHeight="1">
      <c r="D381" s="97"/>
      <c r="E381" s="97"/>
      <c r="F381" s="97"/>
      <c r="G381" s="97"/>
      <c r="H381" s="97"/>
      <c r="J381" s="97"/>
      <c r="L381" s="97"/>
      <c r="Q381" s="97"/>
    </row>
    <row r="382" ht="15.75" customHeight="1">
      <c r="D382" s="97"/>
      <c r="E382" s="97"/>
      <c r="F382" s="97"/>
      <c r="G382" s="97"/>
      <c r="H382" s="97"/>
      <c r="J382" s="97"/>
      <c r="L382" s="97"/>
      <c r="Q382" s="97"/>
    </row>
    <row r="383" ht="15.75" customHeight="1">
      <c r="D383" s="97"/>
      <c r="E383" s="97"/>
      <c r="F383" s="97"/>
      <c r="G383" s="97"/>
      <c r="H383" s="97"/>
      <c r="J383" s="97"/>
      <c r="L383" s="97"/>
      <c r="Q383" s="97"/>
    </row>
    <row r="384" ht="15.75" customHeight="1">
      <c r="D384" s="97"/>
      <c r="E384" s="97"/>
      <c r="F384" s="97"/>
      <c r="G384" s="97"/>
      <c r="H384" s="97"/>
      <c r="J384" s="97"/>
      <c r="L384" s="97"/>
      <c r="Q384" s="97"/>
    </row>
    <row r="385" ht="15.75" customHeight="1">
      <c r="D385" s="97"/>
      <c r="E385" s="97"/>
      <c r="F385" s="97"/>
      <c r="G385" s="97"/>
      <c r="H385" s="97"/>
      <c r="J385" s="97"/>
      <c r="L385" s="97"/>
      <c r="Q385" s="97"/>
    </row>
    <row r="386" ht="15.75" customHeight="1">
      <c r="D386" s="97"/>
      <c r="E386" s="97"/>
      <c r="F386" s="97"/>
      <c r="G386" s="97"/>
      <c r="H386" s="97"/>
      <c r="J386" s="97"/>
      <c r="L386" s="97"/>
      <c r="Q386" s="97"/>
    </row>
    <row r="387" ht="15.75" customHeight="1">
      <c r="D387" s="97"/>
      <c r="E387" s="97"/>
      <c r="F387" s="97"/>
      <c r="G387" s="97"/>
      <c r="H387" s="97"/>
      <c r="J387" s="97"/>
      <c r="L387" s="97"/>
      <c r="Q387" s="97"/>
    </row>
    <row r="388" ht="15.75" customHeight="1">
      <c r="D388" s="97"/>
      <c r="E388" s="97"/>
      <c r="F388" s="97"/>
      <c r="G388" s="97"/>
      <c r="H388" s="97"/>
      <c r="J388" s="97"/>
      <c r="L388" s="97"/>
      <c r="Q388" s="97"/>
    </row>
    <row r="389" ht="15.75" customHeight="1">
      <c r="D389" s="97"/>
      <c r="E389" s="97"/>
      <c r="F389" s="97"/>
      <c r="G389" s="97"/>
      <c r="H389" s="97"/>
      <c r="J389" s="97"/>
      <c r="L389" s="97"/>
      <c r="Q389" s="97"/>
    </row>
    <row r="390" ht="15.75" customHeight="1">
      <c r="D390" s="97"/>
      <c r="E390" s="97"/>
      <c r="F390" s="97"/>
      <c r="G390" s="97"/>
      <c r="H390" s="97"/>
      <c r="J390" s="97"/>
      <c r="L390" s="97"/>
      <c r="Q390" s="97"/>
    </row>
    <row r="391" ht="15.75" customHeight="1">
      <c r="D391" s="97"/>
      <c r="E391" s="97"/>
      <c r="F391" s="97"/>
      <c r="G391" s="97"/>
      <c r="H391" s="97"/>
      <c r="J391" s="97"/>
      <c r="L391" s="97"/>
      <c r="Q391" s="97"/>
    </row>
    <row r="392" ht="15.75" customHeight="1">
      <c r="D392" s="97"/>
      <c r="E392" s="97"/>
      <c r="F392" s="97"/>
      <c r="G392" s="97"/>
      <c r="H392" s="97"/>
      <c r="J392" s="97"/>
      <c r="L392" s="97"/>
      <c r="Q392" s="97"/>
    </row>
    <row r="393" ht="15.75" customHeight="1">
      <c r="D393" s="97"/>
      <c r="E393" s="97"/>
      <c r="F393" s="97"/>
      <c r="G393" s="97"/>
      <c r="H393" s="97"/>
      <c r="J393" s="97"/>
      <c r="L393" s="97"/>
      <c r="Q393" s="97"/>
    </row>
    <row r="394" ht="15.75" customHeight="1">
      <c r="D394" s="97"/>
      <c r="E394" s="97"/>
      <c r="F394" s="97"/>
      <c r="G394" s="97"/>
      <c r="H394" s="97"/>
      <c r="J394" s="97"/>
      <c r="L394" s="97"/>
      <c r="Q394" s="97"/>
    </row>
    <row r="395" ht="15.75" customHeight="1">
      <c r="D395" s="97"/>
      <c r="E395" s="97"/>
      <c r="F395" s="97"/>
      <c r="G395" s="97"/>
      <c r="H395" s="97"/>
      <c r="J395" s="97"/>
      <c r="L395" s="97"/>
      <c r="Q395" s="97"/>
    </row>
    <row r="396" ht="15.75" customHeight="1">
      <c r="D396" s="97"/>
      <c r="E396" s="97"/>
      <c r="F396" s="97"/>
      <c r="G396" s="97"/>
      <c r="H396" s="97"/>
      <c r="J396" s="97"/>
      <c r="L396" s="97"/>
      <c r="Q396" s="97"/>
    </row>
    <row r="397" ht="15.75" customHeight="1">
      <c r="D397" s="97"/>
      <c r="E397" s="97"/>
      <c r="F397" s="97"/>
      <c r="G397" s="97"/>
      <c r="H397" s="97"/>
      <c r="J397" s="97"/>
      <c r="L397" s="97"/>
      <c r="Q397" s="97"/>
    </row>
    <row r="398" ht="15.75" customHeight="1">
      <c r="D398" s="97"/>
      <c r="E398" s="97"/>
      <c r="F398" s="97"/>
      <c r="G398" s="97"/>
      <c r="H398" s="97"/>
      <c r="J398" s="97"/>
      <c r="L398" s="97"/>
      <c r="Q398" s="97"/>
    </row>
    <row r="399" ht="15.75" customHeight="1">
      <c r="D399" s="97"/>
      <c r="E399" s="97"/>
      <c r="F399" s="97"/>
      <c r="G399" s="97"/>
      <c r="H399" s="97"/>
      <c r="J399" s="97"/>
      <c r="L399" s="97"/>
      <c r="Q399" s="97"/>
    </row>
    <row r="400" ht="15.75" customHeight="1">
      <c r="D400" s="97"/>
      <c r="E400" s="97"/>
      <c r="F400" s="97"/>
      <c r="G400" s="97"/>
      <c r="H400" s="97"/>
      <c r="J400" s="97"/>
      <c r="L400" s="97"/>
      <c r="Q400" s="97"/>
    </row>
    <row r="401" ht="15.75" customHeight="1">
      <c r="D401" s="97"/>
      <c r="E401" s="97"/>
      <c r="F401" s="97"/>
      <c r="G401" s="97"/>
      <c r="H401" s="97"/>
      <c r="J401" s="97"/>
      <c r="L401" s="97"/>
      <c r="Q401" s="97"/>
    </row>
    <row r="402" ht="15.75" customHeight="1">
      <c r="D402" s="97"/>
      <c r="E402" s="97"/>
      <c r="F402" s="97"/>
      <c r="G402" s="97"/>
      <c r="H402" s="97"/>
      <c r="J402" s="97"/>
      <c r="L402" s="97"/>
      <c r="Q402" s="97"/>
    </row>
    <row r="403" ht="15.75" customHeight="1">
      <c r="D403" s="97"/>
      <c r="E403" s="97"/>
      <c r="F403" s="97"/>
      <c r="G403" s="97"/>
      <c r="H403" s="97"/>
      <c r="J403" s="97"/>
      <c r="L403" s="97"/>
      <c r="Q403" s="97"/>
    </row>
    <row r="404" ht="15.75" customHeight="1">
      <c r="D404" s="97"/>
      <c r="E404" s="97"/>
      <c r="F404" s="97"/>
      <c r="G404" s="97"/>
      <c r="H404" s="97"/>
      <c r="J404" s="97"/>
      <c r="L404" s="97"/>
      <c r="Q404" s="97"/>
    </row>
    <row r="405" ht="15.75" customHeight="1">
      <c r="D405" s="97"/>
      <c r="E405" s="97"/>
      <c r="F405" s="97"/>
      <c r="G405" s="97"/>
      <c r="H405" s="97"/>
      <c r="J405" s="97"/>
      <c r="L405" s="97"/>
      <c r="Q405" s="97"/>
    </row>
    <row r="406" ht="15.75" customHeight="1">
      <c r="D406" s="97"/>
      <c r="E406" s="97"/>
      <c r="F406" s="97"/>
      <c r="G406" s="97"/>
      <c r="H406" s="97"/>
      <c r="J406" s="97"/>
      <c r="L406" s="97"/>
      <c r="Q406" s="97"/>
    </row>
    <row r="407" ht="15.75" customHeight="1">
      <c r="D407" s="97"/>
      <c r="E407" s="97"/>
      <c r="F407" s="97"/>
      <c r="G407" s="97"/>
      <c r="H407" s="97"/>
      <c r="J407" s="97"/>
      <c r="L407" s="97"/>
      <c r="Q407" s="97"/>
    </row>
    <row r="408" ht="15.75" customHeight="1">
      <c r="D408" s="97"/>
      <c r="E408" s="97"/>
      <c r="F408" s="97"/>
      <c r="G408" s="97"/>
      <c r="H408" s="97"/>
      <c r="J408" s="97"/>
      <c r="L408" s="97"/>
      <c r="Q408" s="97"/>
    </row>
    <row r="409" ht="15.75" customHeight="1">
      <c r="D409" s="97"/>
      <c r="E409" s="97"/>
      <c r="F409" s="97"/>
      <c r="G409" s="97"/>
      <c r="H409" s="97"/>
      <c r="J409" s="97"/>
      <c r="L409" s="97"/>
      <c r="Q409" s="97"/>
    </row>
    <row r="410" ht="15.75" customHeight="1">
      <c r="D410" s="97"/>
      <c r="E410" s="97"/>
      <c r="F410" s="97"/>
      <c r="G410" s="97"/>
      <c r="H410" s="97"/>
      <c r="J410" s="97"/>
      <c r="L410" s="97"/>
      <c r="Q410" s="97"/>
    </row>
    <row r="411" ht="15.75" customHeight="1">
      <c r="D411" s="97"/>
      <c r="E411" s="97"/>
      <c r="F411" s="97"/>
      <c r="G411" s="97"/>
      <c r="H411" s="97"/>
      <c r="J411" s="97"/>
      <c r="L411" s="97"/>
      <c r="Q411" s="97"/>
    </row>
    <row r="412" ht="15.75" customHeight="1">
      <c r="D412" s="97"/>
      <c r="E412" s="97"/>
      <c r="F412" s="97"/>
      <c r="G412" s="97"/>
      <c r="H412" s="97"/>
      <c r="J412" s="97"/>
      <c r="L412" s="97"/>
      <c r="Q412" s="97"/>
    </row>
    <row r="413" ht="15.75" customHeight="1">
      <c r="D413" s="97"/>
      <c r="E413" s="97"/>
      <c r="F413" s="97"/>
      <c r="G413" s="97"/>
      <c r="H413" s="97"/>
      <c r="J413" s="97"/>
      <c r="L413" s="97"/>
      <c r="Q413" s="97"/>
    </row>
    <row r="414" ht="15.75" customHeight="1">
      <c r="D414" s="97"/>
      <c r="E414" s="97"/>
      <c r="F414" s="97"/>
      <c r="G414" s="97"/>
      <c r="H414" s="97"/>
      <c r="J414" s="97"/>
      <c r="L414" s="97"/>
      <c r="Q414" s="97"/>
    </row>
    <row r="415" ht="15.75" customHeight="1">
      <c r="D415" s="97"/>
      <c r="E415" s="97"/>
      <c r="F415" s="97"/>
      <c r="G415" s="97"/>
      <c r="H415" s="97"/>
      <c r="J415" s="97"/>
      <c r="L415" s="97"/>
      <c r="Q415" s="97"/>
    </row>
    <row r="416" ht="15.75" customHeight="1">
      <c r="D416" s="97"/>
      <c r="E416" s="97"/>
      <c r="F416" s="97"/>
      <c r="G416" s="97"/>
      <c r="H416" s="97"/>
      <c r="J416" s="97"/>
      <c r="L416" s="97"/>
      <c r="Q416" s="97"/>
    </row>
    <row r="417" ht="15.75" customHeight="1">
      <c r="D417" s="97"/>
      <c r="E417" s="97"/>
      <c r="F417" s="97"/>
      <c r="G417" s="97"/>
      <c r="H417" s="97"/>
      <c r="J417" s="97"/>
      <c r="L417" s="97"/>
      <c r="Q417" s="97"/>
    </row>
    <row r="418" ht="15.75" customHeight="1">
      <c r="D418" s="97"/>
      <c r="E418" s="97"/>
      <c r="F418" s="97"/>
      <c r="G418" s="97"/>
      <c r="H418" s="97"/>
      <c r="J418" s="97"/>
      <c r="L418" s="97"/>
      <c r="Q418" s="97"/>
    </row>
    <row r="419" ht="15.75" customHeight="1">
      <c r="D419" s="97"/>
      <c r="E419" s="97"/>
      <c r="F419" s="97"/>
      <c r="G419" s="97"/>
      <c r="H419" s="97"/>
      <c r="J419" s="97"/>
      <c r="L419" s="97"/>
      <c r="Q419" s="97"/>
    </row>
    <row r="420" ht="15.75" customHeight="1">
      <c r="D420" s="97"/>
      <c r="E420" s="97"/>
      <c r="F420" s="97"/>
      <c r="G420" s="97"/>
      <c r="H420" s="97"/>
      <c r="J420" s="97"/>
      <c r="L420" s="97"/>
      <c r="Q420" s="97"/>
    </row>
    <row r="421" ht="15.75" customHeight="1">
      <c r="D421" s="97"/>
      <c r="E421" s="97"/>
      <c r="F421" s="97"/>
      <c r="G421" s="97"/>
      <c r="H421" s="97"/>
      <c r="J421" s="97"/>
      <c r="L421" s="97"/>
      <c r="Q421" s="97"/>
    </row>
    <row r="422" ht="15.75" customHeight="1">
      <c r="D422" s="97"/>
      <c r="E422" s="97"/>
      <c r="F422" s="97"/>
      <c r="G422" s="97"/>
      <c r="H422" s="97"/>
      <c r="J422" s="97"/>
      <c r="L422" s="97"/>
      <c r="Q422" s="97"/>
    </row>
    <row r="423" ht="15.75" customHeight="1">
      <c r="D423" s="97"/>
      <c r="E423" s="97"/>
      <c r="F423" s="97"/>
      <c r="G423" s="97"/>
      <c r="H423" s="97"/>
      <c r="J423" s="97"/>
      <c r="L423" s="97"/>
      <c r="Q423" s="97"/>
    </row>
    <row r="424" ht="15.75" customHeight="1">
      <c r="D424" s="97"/>
      <c r="E424" s="97"/>
      <c r="F424" s="97"/>
      <c r="G424" s="97"/>
      <c r="H424" s="97"/>
      <c r="J424" s="97"/>
      <c r="L424" s="97"/>
      <c r="Q424" s="97"/>
    </row>
    <row r="425" ht="15.75" customHeight="1">
      <c r="D425" s="97"/>
      <c r="E425" s="97"/>
      <c r="F425" s="97"/>
      <c r="G425" s="97"/>
      <c r="H425" s="97"/>
      <c r="J425" s="97"/>
      <c r="L425" s="97"/>
      <c r="Q425" s="97"/>
    </row>
    <row r="426" ht="15.75" customHeight="1">
      <c r="D426" s="97"/>
      <c r="E426" s="97"/>
      <c r="F426" s="97"/>
      <c r="G426" s="97"/>
      <c r="H426" s="97"/>
      <c r="J426" s="97"/>
      <c r="L426" s="97"/>
      <c r="Q426" s="97"/>
    </row>
    <row r="427" ht="15.75" customHeight="1">
      <c r="D427" s="97"/>
      <c r="E427" s="97"/>
      <c r="F427" s="97"/>
      <c r="G427" s="97"/>
      <c r="H427" s="97"/>
      <c r="J427" s="97"/>
      <c r="L427" s="97"/>
      <c r="Q427" s="97"/>
    </row>
    <row r="428" ht="15.75" customHeight="1">
      <c r="D428" s="97"/>
      <c r="E428" s="97"/>
      <c r="F428" s="97"/>
      <c r="G428" s="97"/>
      <c r="H428" s="97"/>
      <c r="J428" s="97"/>
      <c r="L428" s="97"/>
      <c r="Q428" s="97"/>
    </row>
    <row r="429" ht="15.75" customHeight="1">
      <c r="D429" s="97"/>
      <c r="E429" s="97"/>
      <c r="F429" s="97"/>
      <c r="G429" s="97"/>
      <c r="H429" s="97"/>
      <c r="J429" s="97"/>
      <c r="L429" s="97"/>
      <c r="Q429" s="97"/>
    </row>
    <row r="430" ht="15.75" customHeight="1">
      <c r="D430" s="97"/>
      <c r="E430" s="97"/>
      <c r="F430" s="97"/>
      <c r="G430" s="97"/>
      <c r="H430" s="97"/>
      <c r="J430" s="97"/>
      <c r="L430" s="97"/>
      <c r="Q430" s="97"/>
    </row>
    <row r="431" ht="15.75" customHeight="1">
      <c r="D431" s="97"/>
      <c r="E431" s="97"/>
      <c r="F431" s="97"/>
      <c r="G431" s="97"/>
      <c r="H431" s="97"/>
      <c r="J431" s="97"/>
      <c r="L431" s="97"/>
      <c r="Q431" s="97"/>
    </row>
    <row r="432" ht="15.75" customHeight="1">
      <c r="D432" s="97"/>
      <c r="E432" s="97"/>
      <c r="F432" s="97"/>
      <c r="G432" s="97"/>
      <c r="H432" s="97"/>
      <c r="J432" s="97"/>
      <c r="L432" s="97"/>
      <c r="Q432" s="97"/>
    </row>
    <row r="433" ht="15.75" customHeight="1">
      <c r="D433" s="97"/>
      <c r="E433" s="97"/>
      <c r="F433" s="97"/>
      <c r="G433" s="97"/>
      <c r="H433" s="97"/>
      <c r="J433" s="97"/>
      <c r="L433" s="97"/>
      <c r="Q433" s="97"/>
    </row>
    <row r="434" ht="15.75" customHeight="1">
      <c r="D434" s="97"/>
      <c r="E434" s="97"/>
      <c r="F434" s="97"/>
      <c r="G434" s="97"/>
      <c r="H434" s="97"/>
      <c r="J434" s="97"/>
      <c r="L434" s="97"/>
      <c r="Q434" s="97"/>
    </row>
    <row r="435" ht="15.75" customHeight="1">
      <c r="D435" s="97"/>
      <c r="E435" s="97"/>
      <c r="F435" s="97"/>
      <c r="G435" s="97"/>
      <c r="H435" s="97"/>
      <c r="J435" s="97"/>
      <c r="L435" s="97"/>
      <c r="Q435" s="97"/>
    </row>
    <row r="436" ht="15.75" customHeight="1">
      <c r="D436" s="97"/>
      <c r="E436" s="97"/>
      <c r="F436" s="97"/>
      <c r="G436" s="97"/>
      <c r="H436" s="97"/>
      <c r="J436" s="97"/>
      <c r="L436" s="97"/>
      <c r="Q436" s="97"/>
    </row>
    <row r="437" ht="15.75" customHeight="1">
      <c r="D437" s="97"/>
      <c r="E437" s="97"/>
      <c r="F437" s="97"/>
      <c r="G437" s="97"/>
      <c r="H437" s="97"/>
      <c r="J437" s="97"/>
      <c r="L437" s="97"/>
      <c r="Q437" s="97"/>
    </row>
    <row r="438" ht="15.75" customHeight="1">
      <c r="D438" s="97"/>
      <c r="E438" s="97"/>
      <c r="F438" s="97"/>
      <c r="G438" s="97"/>
      <c r="H438" s="97"/>
      <c r="J438" s="97"/>
      <c r="L438" s="97"/>
      <c r="Q438" s="97"/>
    </row>
    <row r="439" ht="15.75" customHeight="1">
      <c r="D439" s="97"/>
      <c r="E439" s="97"/>
      <c r="F439" s="97"/>
      <c r="G439" s="97"/>
      <c r="H439" s="97"/>
      <c r="J439" s="97"/>
      <c r="L439" s="97"/>
      <c r="Q439" s="97"/>
    </row>
    <row r="440" ht="15.75" customHeight="1">
      <c r="D440" s="97"/>
      <c r="E440" s="97"/>
      <c r="F440" s="97"/>
      <c r="G440" s="97"/>
      <c r="H440" s="97"/>
      <c r="J440" s="97"/>
      <c r="L440" s="97"/>
      <c r="Q440" s="97"/>
    </row>
    <row r="441" ht="15.75" customHeight="1">
      <c r="D441" s="97"/>
      <c r="E441" s="97"/>
      <c r="F441" s="97"/>
      <c r="G441" s="97"/>
      <c r="H441" s="97"/>
      <c r="J441" s="97"/>
      <c r="L441" s="97"/>
      <c r="Q441" s="97"/>
    </row>
    <row r="442" ht="15.75" customHeight="1">
      <c r="D442" s="97"/>
      <c r="E442" s="97"/>
      <c r="F442" s="97"/>
      <c r="G442" s="97"/>
      <c r="H442" s="97"/>
      <c r="J442" s="97"/>
      <c r="L442" s="97"/>
      <c r="Q442" s="97"/>
    </row>
    <row r="443" ht="15.75" customHeight="1">
      <c r="D443" s="97"/>
      <c r="E443" s="97"/>
      <c r="F443" s="97"/>
      <c r="G443" s="97"/>
      <c r="H443" s="97"/>
      <c r="J443" s="97"/>
      <c r="L443" s="97"/>
      <c r="Q443" s="97"/>
    </row>
    <row r="444" ht="15.75" customHeight="1">
      <c r="D444" s="97"/>
      <c r="E444" s="97"/>
      <c r="F444" s="97"/>
      <c r="G444" s="97"/>
      <c r="H444" s="97"/>
      <c r="J444" s="97"/>
      <c r="L444" s="97"/>
      <c r="Q444" s="97"/>
    </row>
    <row r="445" ht="15.75" customHeight="1">
      <c r="D445" s="97"/>
      <c r="E445" s="97"/>
      <c r="F445" s="97"/>
      <c r="G445" s="97"/>
      <c r="H445" s="97"/>
      <c r="J445" s="97"/>
      <c r="L445" s="97"/>
      <c r="Q445" s="97"/>
    </row>
    <row r="446" ht="15.75" customHeight="1">
      <c r="D446" s="97"/>
      <c r="E446" s="97"/>
      <c r="F446" s="97"/>
      <c r="G446" s="97"/>
      <c r="H446" s="97"/>
      <c r="J446" s="97"/>
      <c r="L446" s="97"/>
      <c r="Q446" s="97"/>
    </row>
    <row r="447" ht="15.75" customHeight="1">
      <c r="D447" s="97"/>
      <c r="E447" s="97"/>
      <c r="F447" s="97"/>
      <c r="G447" s="97"/>
      <c r="H447" s="97"/>
      <c r="J447" s="97"/>
      <c r="L447" s="97"/>
      <c r="Q447" s="97"/>
    </row>
    <row r="448" ht="15.75" customHeight="1">
      <c r="D448" s="97"/>
      <c r="E448" s="97"/>
      <c r="F448" s="97"/>
      <c r="G448" s="97"/>
      <c r="H448" s="97"/>
      <c r="J448" s="97"/>
      <c r="L448" s="97"/>
      <c r="Q448" s="97"/>
    </row>
    <row r="449" ht="15.75" customHeight="1">
      <c r="D449" s="97"/>
      <c r="E449" s="97"/>
      <c r="F449" s="97"/>
      <c r="G449" s="97"/>
      <c r="H449" s="97"/>
      <c r="J449" s="97"/>
      <c r="L449" s="97"/>
      <c r="Q449" s="97"/>
    </row>
    <row r="450" ht="15.75" customHeight="1">
      <c r="D450" s="97"/>
      <c r="E450" s="97"/>
      <c r="F450" s="97"/>
      <c r="G450" s="97"/>
      <c r="H450" s="97"/>
      <c r="J450" s="97"/>
      <c r="L450" s="97"/>
      <c r="Q450" s="97"/>
    </row>
    <row r="451" ht="15.75" customHeight="1">
      <c r="D451" s="97"/>
      <c r="E451" s="97"/>
      <c r="F451" s="97"/>
      <c r="G451" s="97"/>
      <c r="H451" s="97"/>
      <c r="J451" s="97"/>
      <c r="L451" s="97"/>
      <c r="Q451" s="97"/>
    </row>
    <row r="452" ht="15.75" customHeight="1">
      <c r="D452" s="97"/>
      <c r="E452" s="97"/>
      <c r="F452" s="97"/>
      <c r="G452" s="97"/>
      <c r="H452" s="97"/>
      <c r="J452" s="97"/>
      <c r="L452" s="97"/>
      <c r="Q452" s="97"/>
    </row>
    <row r="453" ht="15.75" customHeight="1">
      <c r="D453" s="97"/>
      <c r="E453" s="97"/>
      <c r="F453" s="97"/>
      <c r="G453" s="97"/>
      <c r="H453" s="97"/>
      <c r="J453" s="97"/>
      <c r="L453" s="97"/>
      <c r="Q453" s="97"/>
    </row>
    <row r="454" ht="15.75" customHeight="1">
      <c r="D454" s="97"/>
      <c r="E454" s="97"/>
      <c r="F454" s="97"/>
      <c r="G454" s="97"/>
      <c r="H454" s="97"/>
      <c r="J454" s="97"/>
      <c r="L454" s="97"/>
      <c r="Q454" s="97"/>
    </row>
    <row r="455" ht="15.75" customHeight="1">
      <c r="D455" s="97"/>
      <c r="E455" s="97"/>
      <c r="F455" s="97"/>
      <c r="G455" s="97"/>
      <c r="H455" s="97"/>
      <c r="J455" s="97"/>
      <c r="L455" s="97"/>
      <c r="Q455" s="97"/>
    </row>
    <row r="456" ht="15.75" customHeight="1">
      <c r="D456" s="97"/>
      <c r="E456" s="97"/>
      <c r="F456" s="97"/>
      <c r="G456" s="97"/>
      <c r="H456" s="97"/>
      <c r="J456" s="97"/>
      <c r="L456" s="97"/>
      <c r="Q456" s="97"/>
    </row>
    <row r="457" ht="15.75" customHeight="1">
      <c r="D457" s="97"/>
      <c r="E457" s="97"/>
      <c r="F457" s="97"/>
      <c r="G457" s="97"/>
      <c r="H457" s="97"/>
      <c r="J457" s="97"/>
      <c r="L457" s="97"/>
      <c r="Q457" s="97"/>
    </row>
    <row r="458" ht="15.75" customHeight="1">
      <c r="D458" s="97"/>
      <c r="E458" s="97"/>
      <c r="F458" s="97"/>
      <c r="G458" s="97"/>
      <c r="H458" s="97"/>
      <c r="J458" s="97"/>
      <c r="L458" s="97"/>
      <c r="Q458" s="97"/>
    </row>
    <row r="459" ht="15.75" customHeight="1">
      <c r="D459" s="97"/>
      <c r="E459" s="97"/>
      <c r="F459" s="97"/>
      <c r="G459" s="97"/>
      <c r="H459" s="97"/>
      <c r="J459" s="97"/>
      <c r="L459" s="97"/>
      <c r="Q459" s="97"/>
    </row>
    <row r="460" ht="15.75" customHeight="1">
      <c r="D460" s="97"/>
      <c r="E460" s="97"/>
      <c r="F460" s="97"/>
      <c r="G460" s="97"/>
      <c r="H460" s="97"/>
      <c r="J460" s="97"/>
      <c r="L460" s="97"/>
      <c r="Q460" s="97"/>
    </row>
    <row r="461" ht="15.75" customHeight="1">
      <c r="D461" s="97"/>
      <c r="E461" s="97"/>
      <c r="F461" s="97"/>
      <c r="G461" s="97"/>
      <c r="H461" s="97"/>
      <c r="J461" s="97"/>
      <c r="L461" s="97"/>
      <c r="Q461" s="97"/>
    </row>
    <row r="462" ht="15.75" customHeight="1">
      <c r="D462" s="97"/>
      <c r="E462" s="97"/>
      <c r="F462" s="97"/>
      <c r="G462" s="97"/>
      <c r="H462" s="97"/>
      <c r="J462" s="97"/>
      <c r="L462" s="97"/>
      <c r="Q462" s="97"/>
    </row>
    <row r="463" ht="15.75" customHeight="1">
      <c r="D463" s="97"/>
      <c r="E463" s="97"/>
      <c r="F463" s="97"/>
      <c r="G463" s="97"/>
      <c r="H463" s="97"/>
      <c r="J463" s="97"/>
      <c r="L463" s="97"/>
      <c r="Q463" s="97"/>
    </row>
    <row r="464" ht="15.75" customHeight="1">
      <c r="D464" s="97"/>
      <c r="E464" s="97"/>
      <c r="F464" s="97"/>
      <c r="G464" s="97"/>
      <c r="H464" s="97"/>
      <c r="J464" s="97"/>
      <c r="L464" s="97"/>
      <c r="Q464" s="97"/>
    </row>
    <row r="465" ht="15.75" customHeight="1">
      <c r="D465" s="97"/>
      <c r="E465" s="97"/>
      <c r="F465" s="97"/>
      <c r="G465" s="97"/>
      <c r="H465" s="97"/>
      <c r="J465" s="97"/>
      <c r="L465" s="97"/>
      <c r="Q465" s="97"/>
    </row>
    <row r="466" ht="15.75" customHeight="1">
      <c r="D466" s="97"/>
      <c r="E466" s="97"/>
      <c r="F466" s="97"/>
      <c r="G466" s="97"/>
      <c r="H466" s="97"/>
      <c r="J466" s="97"/>
      <c r="L466" s="97"/>
      <c r="Q466" s="97"/>
    </row>
    <row r="467" ht="15.75" customHeight="1">
      <c r="D467" s="97"/>
      <c r="E467" s="97"/>
      <c r="F467" s="97"/>
      <c r="G467" s="97"/>
      <c r="H467" s="97"/>
      <c r="J467" s="97"/>
      <c r="L467" s="97"/>
      <c r="Q467" s="97"/>
    </row>
    <row r="468" ht="15.75" customHeight="1">
      <c r="D468" s="97"/>
      <c r="E468" s="97"/>
      <c r="F468" s="97"/>
      <c r="G468" s="97"/>
      <c r="H468" s="97"/>
      <c r="J468" s="97"/>
      <c r="L468" s="97"/>
      <c r="Q468" s="97"/>
    </row>
    <row r="469" ht="15.75" customHeight="1">
      <c r="D469" s="97"/>
      <c r="E469" s="97"/>
      <c r="F469" s="97"/>
      <c r="G469" s="97"/>
      <c r="H469" s="97"/>
      <c r="J469" s="97"/>
      <c r="L469" s="97"/>
      <c r="Q469" s="97"/>
    </row>
    <row r="470" ht="15.75" customHeight="1">
      <c r="D470" s="97"/>
      <c r="E470" s="97"/>
      <c r="F470" s="97"/>
      <c r="G470" s="97"/>
      <c r="H470" s="97"/>
      <c r="J470" s="97"/>
      <c r="L470" s="97"/>
      <c r="Q470" s="97"/>
    </row>
    <row r="471" ht="15.75" customHeight="1">
      <c r="D471" s="97"/>
      <c r="E471" s="97"/>
      <c r="F471" s="97"/>
      <c r="G471" s="97"/>
      <c r="H471" s="97"/>
      <c r="J471" s="97"/>
      <c r="L471" s="97"/>
      <c r="Q471" s="97"/>
    </row>
    <row r="472" ht="15.75" customHeight="1">
      <c r="D472" s="97"/>
      <c r="E472" s="97"/>
      <c r="F472" s="97"/>
      <c r="G472" s="97"/>
      <c r="H472" s="97"/>
      <c r="J472" s="97"/>
      <c r="L472" s="97"/>
      <c r="Q472" s="97"/>
    </row>
    <row r="473" ht="15.75" customHeight="1">
      <c r="D473" s="97"/>
      <c r="E473" s="97"/>
      <c r="F473" s="97"/>
      <c r="G473" s="97"/>
      <c r="H473" s="97"/>
      <c r="J473" s="97"/>
      <c r="L473" s="97"/>
      <c r="Q473" s="97"/>
    </row>
    <row r="474" ht="15.75" customHeight="1">
      <c r="D474" s="97"/>
      <c r="E474" s="97"/>
      <c r="F474" s="97"/>
      <c r="G474" s="97"/>
      <c r="H474" s="97"/>
      <c r="J474" s="97"/>
      <c r="L474" s="97"/>
      <c r="Q474" s="97"/>
    </row>
    <row r="475" ht="15.75" customHeight="1">
      <c r="D475" s="97"/>
      <c r="E475" s="97"/>
      <c r="F475" s="97"/>
      <c r="G475" s="97"/>
      <c r="H475" s="97"/>
      <c r="J475" s="97"/>
      <c r="L475" s="97"/>
      <c r="Q475" s="97"/>
    </row>
    <row r="476" ht="15.75" customHeight="1">
      <c r="D476" s="97"/>
      <c r="E476" s="97"/>
      <c r="F476" s="97"/>
      <c r="G476" s="97"/>
      <c r="H476" s="97"/>
      <c r="J476" s="97"/>
      <c r="L476" s="97"/>
      <c r="Q476" s="97"/>
    </row>
    <row r="477" ht="15.75" customHeight="1">
      <c r="D477" s="97"/>
      <c r="E477" s="97"/>
      <c r="F477" s="97"/>
      <c r="G477" s="97"/>
      <c r="H477" s="97"/>
      <c r="J477" s="97"/>
      <c r="L477" s="97"/>
      <c r="Q477" s="97"/>
    </row>
    <row r="478" ht="15.75" customHeight="1">
      <c r="D478" s="97"/>
      <c r="E478" s="97"/>
      <c r="F478" s="97"/>
      <c r="G478" s="97"/>
      <c r="H478" s="97"/>
      <c r="J478" s="97"/>
      <c r="L478" s="97"/>
      <c r="Q478" s="97"/>
    </row>
    <row r="479" ht="15.75" customHeight="1">
      <c r="D479" s="97"/>
      <c r="E479" s="97"/>
      <c r="F479" s="97"/>
      <c r="G479" s="97"/>
      <c r="H479" s="97"/>
      <c r="J479" s="97"/>
      <c r="L479" s="97"/>
      <c r="Q479" s="97"/>
    </row>
    <row r="480" ht="15.75" customHeight="1">
      <c r="D480" s="97"/>
      <c r="E480" s="97"/>
      <c r="F480" s="97"/>
      <c r="G480" s="97"/>
      <c r="H480" s="97"/>
      <c r="J480" s="97"/>
      <c r="L480" s="97"/>
      <c r="Q480" s="97"/>
    </row>
    <row r="481" ht="15.75" customHeight="1">
      <c r="D481" s="97"/>
      <c r="E481" s="97"/>
      <c r="F481" s="97"/>
      <c r="G481" s="97"/>
      <c r="H481" s="97"/>
      <c r="J481" s="97"/>
      <c r="L481" s="97"/>
      <c r="Q481" s="97"/>
    </row>
    <row r="482" ht="15.75" customHeight="1">
      <c r="D482" s="97"/>
      <c r="E482" s="97"/>
      <c r="F482" s="97"/>
      <c r="G482" s="97"/>
      <c r="H482" s="97"/>
      <c r="J482" s="97"/>
      <c r="L482" s="97"/>
      <c r="Q482" s="97"/>
    </row>
    <row r="483" ht="15.75" customHeight="1">
      <c r="D483" s="97"/>
      <c r="E483" s="97"/>
      <c r="F483" s="97"/>
      <c r="G483" s="97"/>
      <c r="H483" s="97"/>
      <c r="J483" s="97"/>
      <c r="L483" s="97"/>
      <c r="Q483" s="97"/>
    </row>
    <row r="484" ht="15.75" customHeight="1">
      <c r="D484" s="97"/>
      <c r="E484" s="97"/>
      <c r="F484" s="97"/>
      <c r="G484" s="97"/>
      <c r="H484" s="97"/>
      <c r="J484" s="97"/>
      <c r="L484" s="97"/>
      <c r="Q484" s="97"/>
    </row>
    <row r="485" ht="15.75" customHeight="1">
      <c r="D485" s="97"/>
      <c r="E485" s="97"/>
      <c r="F485" s="97"/>
      <c r="G485" s="97"/>
      <c r="H485" s="97"/>
      <c r="J485" s="97"/>
      <c r="L485" s="97"/>
      <c r="Q485" s="97"/>
    </row>
    <row r="486" ht="15.75" customHeight="1">
      <c r="D486" s="97"/>
      <c r="E486" s="97"/>
      <c r="F486" s="97"/>
      <c r="G486" s="97"/>
      <c r="H486" s="97"/>
      <c r="J486" s="97"/>
      <c r="L486" s="97"/>
      <c r="Q486" s="97"/>
    </row>
    <row r="487" ht="15.75" customHeight="1">
      <c r="D487" s="97"/>
      <c r="E487" s="97"/>
      <c r="F487" s="97"/>
      <c r="G487" s="97"/>
      <c r="H487" s="97"/>
      <c r="J487" s="97"/>
      <c r="L487" s="97"/>
      <c r="Q487" s="97"/>
    </row>
    <row r="488" ht="15.75" customHeight="1">
      <c r="D488" s="97"/>
      <c r="E488" s="97"/>
      <c r="F488" s="97"/>
      <c r="G488" s="97"/>
      <c r="H488" s="97"/>
      <c r="J488" s="97"/>
      <c r="L488" s="97"/>
      <c r="Q488" s="97"/>
    </row>
    <row r="489" ht="15.75" customHeight="1">
      <c r="D489" s="97"/>
      <c r="E489" s="97"/>
      <c r="F489" s="97"/>
      <c r="G489" s="97"/>
      <c r="H489" s="97"/>
      <c r="J489" s="97"/>
      <c r="L489" s="97"/>
      <c r="Q489" s="97"/>
    </row>
    <row r="490" ht="15.75" customHeight="1">
      <c r="D490" s="97"/>
      <c r="E490" s="97"/>
      <c r="F490" s="97"/>
      <c r="G490" s="97"/>
      <c r="H490" s="97"/>
      <c r="J490" s="97"/>
      <c r="L490" s="97"/>
      <c r="Q490" s="97"/>
    </row>
    <row r="491" ht="15.75" customHeight="1">
      <c r="D491" s="97"/>
      <c r="E491" s="97"/>
      <c r="F491" s="97"/>
      <c r="G491" s="97"/>
      <c r="H491" s="97"/>
      <c r="J491" s="97"/>
      <c r="L491" s="97"/>
      <c r="Q491" s="97"/>
    </row>
    <row r="492" ht="15.75" customHeight="1">
      <c r="D492" s="97"/>
      <c r="E492" s="97"/>
      <c r="F492" s="97"/>
      <c r="G492" s="97"/>
      <c r="H492" s="97"/>
      <c r="J492" s="97"/>
      <c r="L492" s="97"/>
      <c r="Q492" s="97"/>
    </row>
    <row r="493" ht="15.75" customHeight="1">
      <c r="D493" s="97"/>
      <c r="E493" s="97"/>
      <c r="F493" s="97"/>
      <c r="G493" s="97"/>
      <c r="H493" s="97"/>
      <c r="J493" s="97"/>
      <c r="L493" s="97"/>
      <c r="Q493" s="97"/>
    </row>
    <row r="494" ht="15.75" customHeight="1">
      <c r="D494" s="97"/>
      <c r="E494" s="97"/>
      <c r="F494" s="97"/>
      <c r="G494" s="97"/>
      <c r="H494" s="97"/>
      <c r="J494" s="97"/>
      <c r="L494" s="97"/>
      <c r="Q494" s="97"/>
    </row>
    <row r="495" ht="15.75" customHeight="1">
      <c r="D495" s="97"/>
      <c r="E495" s="97"/>
      <c r="F495" s="97"/>
      <c r="G495" s="97"/>
      <c r="H495" s="97"/>
      <c r="J495" s="97"/>
      <c r="L495" s="97"/>
      <c r="Q495" s="97"/>
    </row>
    <row r="496" ht="15.75" customHeight="1">
      <c r="D496" s="97"/>
      <c r="E496" s="97"/>
      <c r="F496" s="97"/>
      <c r="G496" s="97"/>
      <c r="H496" s="97"/>
      <c r="J496" s="97"/>
      <c r="L496" s="97"/>
      <c r="Q496" s="97"/>
    </row>
    <row r="497" ht="15.75" customHeight="1">
      <c r="D497" s="97"/>
      <c r="E497" s="97"/>
      <c r="F497" s="97"/>
      <c r="G497" s="97"/>
      <c r="H497" s="97"/>
      <c r="J497" s="97"/>
      <c r="L497" s="97"/>
      <c r="Q497" s="97"/>
    </row>
    <row r="498" ht="15.75" customHeight="1">
      <c r="D498" s="97"/>
      <c r="E498" s="97"/>
      <c r="F498" s="97"/>
      <c r="G498" s="97"/>
      <c r="H498" s="97"/>
      <c r="J498" s="97"/>
      <c r="L498" s="97"/>
      <c r="Q498" s="97"/>
    </row>
    <row r="499" ht="15.75" customHeight="1">
      <c r="D499" s="97"/>
      <c r="E499" s="97"/>
      <c r="F499" s="97"/>
      <c r="G499" s="97"/>
      <c r="H499" s="97"/>
      <c r="J499" s="97"/>
      <c r="L499" s="97"/>
      <c r="Q499" s="97"/>
    </row>
    <row r="500" ht="15.75" customHeight="1">
      <c r="D500" s="97"/>
      <c r="E500" s="97"/>
      <c r="F500" s="97"/>
      <c r="G500" s="97"/>
      <c r="H500" s="97"/>
      <c r="J500" s="97"/>
      <c r="L500" s="97"/>
      <c r="Q500" s="97"/>
    </row>
    <row r="501" ht="15.75" customHeight="1">
      <c r="D501" s="97"/>
      <c r="E501" s="97"/>
      <c r="F501" s="97"/>
      <c r="G501" s="97"/>
      <c r="H501" s="97"/>
      <c r="J501" s="97"/>
      <c r="L501" s="97"/>
      <c r="Q501" s="97"/>
    </row>
    <row r="502" ht="15.75" customHeight="1">
      <c r="D502" s="97"/>
      <c r="E502" s="97"/>
      <c r="F502" s="97"/>
      <c r="G502" s="97"/>
      <c r="H502" s="97"/>
      <c r="J502" s="97"/>
      <c r="L502" s="97"/>
      <c r="Q502" s="97"/>
    </row>
    <row r="503" ht="15.75" customHeight="1">
      <c r="D503" s="97"/>
      <c r="E503" s="97"/>
      <c r="F503" s="97"/>
      <c r="G503" s="97"/>
      <c r="H503" s="97"/>
      <c r="J503" s="97"/>
      <c r="L503" s="97"/>
      <c r="Q503" s="97"/>
    </row>
    <row r="504" ht="15.75" customHeight="1">
      <c r="D504" s="97"/>
      <c r="E504" s="97"/>
      <c r="F504" s="97"/>
      <c r="G504" s="97"/>
      <c r="H504" s="97"/>
      <c r="J504" s="97"/>
      <c r="L504" s="97"/>
      <c r="Q504" s="97"/>
    </row>
    <row r="505" ht="15.75" customHeight="1">
      <c r="D505" s="97"/>
      <c r="E505" s="97"/>
      <c r="F505" s="97"/>
      <c r="G505" s="97"/>
      <c r="H505" s="97"/>
      <c r="J505" s="97"/>
      <c r="L505" s="97"/>
      <c r="Q505" s="97"/>
    </row>
    <row r="506" ht="15.75" customHeight="1">
      <c r="D506" s="97"/>
      <c r="E506" s="97"/>
      <c r="F506" s="97"/>
      <c r="G506" s="97"/>
      <c r="H506" s="97"/>
      <c r="J506" s="97"/>
      <c r="L506" s="97"/>
      <c r="Q506" s="97"/>
    </row>
    <row r="507" ht="15.75" customHeight="1">
      <c r="D507" s="97"/>
      <c r="E507" s="97"/>
      <c r="F507" s="97"/>
      <c r="G507" s="97"/>
      <c r="H507" s="97"/>
      <c r="J507" s="97"/>
      <c r="L507" s="97"/>
      <c r="Q507" s="97"/>
    </row>
    <row r="508" ht="15.75" customHeight="1">
      <c r="D508" s="97"/>
      <c r="E508" s="97"/>
      <c r="F508" s="97"/>
      <c r="G508" s="97"/>
      <c r="H508" s="97"/>
      <c r="J508" s="97"/>
      <c r="L508" s="97"/>
      <c r="Q508" s="97"/>
    </row>
    <row r="509" ht="15.75" customHeight="1">
      <c r="D509" s="97"/>
      <c r="E509" s="97"/>
      <c r="F509" s="97"/>
      <c r="G509" s="97"/>
      <c r="H509" s="97"/>
      <c r="J509" s="97"/>
      <c r="L509" s="97"/>
      <c r="Q509" s="97"/>
    </row>
    <row r="510" ht="15.75" customHeight="1">
      <c r="D510" s="97"/>
      <c r="E510" s="97"/>
      <c r="F510" s="97"/>
      <c r="G510" s="97"/>
      <c r="H510" s="97"/>
      <c r="J510" s="97"/>
      <c r="L510" s="97"/>
      <c r="Q510" s="97"/>
    </row>
    <row r="511" ht="15.75" customHeight="1">
      <c r="D511" s="97"/>
      <c r="E511" s="97"/>
      <c r="F511" s="97"/>
      <c r="G511" s="97"/>
      <c r="H511" s="97"/>
      <c r="J511" s="97"/>
      <c r="L511" s="97"/>
      <c r="Q511" s="97"/>
    </row>
    <row r="512" ht="15.75" customHeight="1">
      <c r="D512" s="97"/>
      <c r="E512" s="97"/>
      <c r="F512" s="97"/>
      <c r="G512" s="97"/>
      <c r="H512" s="97"/>
      <c r="J512" s="97"/>
      <c r="L512" s="97"/>
      <c r="Q512" s="97"/>
    </row>
    <row r="513" ht="15.75" customHeight="1">
      <c r="D513" s="97"/>
      <c r="E513" s="97"/>
      <c r="F513" s="97"/>
      <c r="G513" s="97"/>
      <c r="H513" s="97"/>
      <c r="J513" s="97"/>
      <c r="L513" s="97"/>
      <c r="Q513" s="97"/>
    </row>
    <row r="514" ht="15.75" customHeight="1">
      <c r="D514" s="97"/>
      <c r="E514" s="97"/>
      <c r="F514" s="97"/>
      <c r="G514" s="97"/>
      <c r="H514" s="97"/>
      <c r="J514" s="97"/>
      <c r="L514" s="97"/>
      <c r="Q514" s="97"/>
    </row>
    <row r="515" ht="15.75" customHeight="1">
      <c r="D515" s="97"/>
      <c r="E515" s="97"/>
      <c r="F515" s="97"/>
      <c r="G515" s="97"/>
      <c r="H515" s="97"/>
      <c r="J515" s="97"/>
      <c r="L515" s="97"/>
      <c r="Q515" s="97"/>
    </row>
    <row r="516" ht="15.75" customHeight="1">
      <c r="D516" s="97"/>
      <c r="E516" s="97"/>
      <c r="F516" s="97"/>
      <c r="G516" s="97"/>
      <c r="H516" s="97"/>
      <c r="J516" s="97"/>
      <c r="L516" s="97"/>
      <c r="Q516" s="97"/>
    </row>
    <row r="517" ht="15.75" customHeight="1">
      <c r="D517" s="97"/>
      <c r="E517" s="97"/>
      <c r="F517" s="97"/>
      <c r="G517" s="97"/>
      <c r="H517" s="97"/>
      <c r="J517" s="97"/>
      <c r="L517" s="97"/>
      <c r="Q517" s="97"/>
    </row>
    <row r="518" ht="15.75" customHeight="1">
      <c r="D518" s="97"/>
      <c r="E518" s="97"/>
      <c r="F518" s="97"/>
      <c r="G518" s="97"/>
      <c r="H518" s="97"/>
      <c r="J518" s="97"/>
      <c r="L518" s="97"/>
      <c r="Q518" s="97"/>
    </row>
    <row r="519" ht="15.75" customHeight="1">
      <c r="D519" s="97"/>
      <c r="E519" s="97"/>
      <c r="F519" s="97"/>
      <c r="G519" s="97"/>
      <c r="H519" s="97"/>
      <c r="J519" s="97"/>
      <c r="L519" s="97"/>
      <c r="Q519" s="97"/>
    </row>
    <row r="520" ht="15.75" customHeight="1">
      <c r="D520" s="97"/>
      <c r="E520" s="97"/>
      <c r="F520" s="97"/>
      <c r="G520" s="97"/>
      <c r="H520" s="97"/>
      <c r="J520" s="97"/>
      <c r="L520" s="97"/>
      <c r="Q520" s="97"/>
    </row>
    <row r="521" ht="15.75" customHeight="1">
      <c r="D521" s="97"/>
      <c r="E521" s="97"/>
      <c r="F521" s="97"/>
      <c r="G521" s="97"/>
      <c r="H521" s="97"/>
      <c r="J521" s="97"/>
      <c r="L521" s="97"/>
      <c r="Q521" s="97"/>
    </row>
    <row r="522" ht="15.75" customHeight="1">
      <c r="D522" s="97"/>
      <c r="E522" s="97"/>
      <c r="F522" s="97"/>
      <c r="G522" s="97"/>
      <c r="H522" s="97"/>
      <c r="J522" s="97"/>
      <c r="L522" s="97"/>
      <c r="Q522" s="97"/>
    </row>
    <row r="523" ht="15.75" customHeight="1">
      <c r="D523" s="97"/>
      <c r="E523" s="97"/>
      <c r="F523" s="97"/>
      <c r="G523" s="97"/>
      <c r="H523" s="97"/>
      <c r="J523" s="97"/>
      <c r="L523" s="97"/>
      <c r="Q523" s="97"/>
    </row>
    <row r="524" ht="15.75" customHeight="1">
      <c r="D524" s="97"/>
      <c r="E524" s="97"/>
      <c r="F524" s="97"/>
      <c r="G524" s="97"/>
      <c r="H524" s="97"/>
      <c r="J524" s="97"/>
      <c r="L524" s="97"/>
      <c r="Q524" s="97"/>
    </row>
    <row r="525" ht="15.75" customHeight="1">
      <c r="D525" s="97"/>
      <c r="E525" s="97"/>
      <c r="F525" s="97"/>
      <c r="G525" s="97"/>
      <c r="H525" s="97"/>
      <c r="J525" s="97"/>
      <c r="L525" s="97"/>
      <c r="Q525" s="97"/>
    </row>
    <row r="526" ht="15.75" customHeight="1">
      <c r="D526" s="97"/>
      <c r="E526" s="97"/>
      <c r="F526" s="97"/>
      <c r="G526" s="97"/>
      <c r="H526" s="97"/>
      <c r="J526" s="97"/>
      <c r="L526" s="97"/>
      <c r="Q526" s="97"/>
    </row>
    <row r="527" ht="15.75" customHeight="1">
      <c r="D527" s="97"/>
      <c r="E527" s="97"/>
      <c r="F527" s="97"/>
      <c r="G527" s="97"/>
      <c r="H527" s="97"/>
      <c r="J527" s="97"/>
      <c r="L527" s="97"/>
      <c r="Q527" s="97"/>
    </row>
    <row r="528" ht="15.75" customHeight="1">
      <c r="D528" s="97"/>
      <c r="E528" s="97"/>
      <c r="F528" s="97"/>
      <c r="G528" s="97"/>
      <c r="H528" s="97"/>
      <c r="J528" s="97"/>
      <c r="L528" s="97"/>
      <c r="Q528" s="97"/>
    </row>
    <row r="529" ht="15.75" customHeight="1">
      <c r="D529" s="97"/>
      <c r="E529" s="97"/>
      <c r="F529" s="97"/>
      <c r="G529" s="97"/>
      <c r="H529" s="97"/>
      <c r="J529" s="97"/>
      <c r="L529" s="97"/>
      <c r="Q529" s="97"/>
    </row>
    <row r="530" ht="15.75" customHeight="1">
      <c r="D530" s="97"/>
      <c r="E530" s="97"/>
      <c r="F530" s="97"/>
      <c r="G530" s="97"/>
      <c r="H530" s="97"/>
      <c r="J530" s="97"/>
      <c r="L530" s="97"/>
      <c r="Q530" s="97"/>
    </row>
    <row r="531" ht="15.75" customHeight="1">
      <c r="D531" s="97"/>
      <c r="E531" s="97"/>
      <c r="F531" s="97"/>
      <c r="G531" s="97"/>
      <c r="H531" s="97"/>
      <c r="J531" s="97"/>
      <c r="L531" s="97"/>
      <c r="Q531" s="97"/>
    </row>
    <row r="532" ht="15.75" customHeight="1">
      <c r="D532" s="97"/>
      <c r="E532" s="97"/>
      <c r="F532" s="97"/>
      <c r="G532" s="97"/>
      <c r="H532" s="97"/>
      <c r="J532" s="97"/>
      <c r="L532" s="97"/>
      <c r="Q532" s="97"/>
    </row>
    <row r="533" ht="15.75" customHeight="1">
      <c r="D533" s="97"/>
      <c r="E533" s="97"/>
      <c r="F533" s="97"/>
      <c r="G533" s="97"/>
      <c r="H533" s="97"/>
      <c r="J533" s="97"/>
      <c r="L533" s="97"/>
      <c r="Q533" s="97"/>
    </row>
    <row r="534" ht="15.75" customHeight="1">
      <c r="D534" s="97"/>
      <c r="E534" s="97"/>
      <c r="F534" s="97"/>
      <c r="G534" s="97"/>
      <c r="H534" s="97"/>
      <c r="J534" s="97"/>
      <c r="L534" s="97"/>
      <c r="Q534" s="97"/>
    </row>
    <row r="535" ht="15.75" customHeight="1">
      <c r="D535" s="97"/>
      <c r="E535" s="97"/>
      <c r="F535" s="97"/>
      <c r="G535" s="97"/>
      <c r="H535" s="97"/>
      <c r="J535" s="97"/>
      <c r="L535" s="97"/>
      <c r="Q535" s="97"/>
    </row>
    <row r="536" ht="15.75" customHeight="1">
      <c r="D536" s="97"/>
      <c r="E536" s="97"/>
      <c r="F536" s="97"/>
      <c r="G536" s="97"/>
      <c r="H536" s="97"/>
      <c r="J536" s="97"/>
      <c r="L536" s="97"/>
      <c r="Q536" s="97"/>
    </row>
    <row r="537" ht="15.75" customHeight="1">
      <c r="D537" s="97"/>
      <c r="E537" s="97"/>
      <c r="F537" s="97"/>
      <c r="G537" s="97"/>
      <c r="H537" s="97"/>
      <c r="J537" s="97"/>
      <c r="L537" s="97"/>
      <c r="Q537" s="97"/>
    </row>
    <row r="538" ht="15.75" customHeight="1">
      <c r="D538" s="97"/>
      <c r="E538" s="97"/>
      <c r="F538" s="97"/>
      <c r="G538" s="97"/>
      <c r="H538" s="97"/>
      <c r="J538" s="97"/>
      <c r="L538" s="97"/>
      <c r="Q538" s="97"/>
    </row>
    <row r="539" ht="15.75" customHeight="1">
      <c r="D539" s="97"/>
      <c r="E539" s="97"/>
      <c r="F539" s="97"/>
      <c r="G539" s="97"/>
      <c r="H539" s="97"/>
      <c r="J539" s="97"/>
      <c r="L539" s="97"/>
      <c r="Q539" s="97"/>
    </row>
    <row r="540" ht="15.75" customHeight="1">
      <c r="D540" s="97"/>
      <c r="E540" s="97"/>
      <c r="F540" s="97"/>
      <c r="G540" s="97"/>
      <c r="H540" s="97"/>
      <c r="J540" s="97"/>
      <c r="L540" s="97"/>
      <c r="Q540" s="97"/>
    </row>
    <row r="541" ht="15.75" customHeight="1">
      <c r="D541" s="97"/>
      <c r="E541" s="97"/>
      <c r="F541" s="97"/>
      <c r="G541" s="97"/>
      <c r="H541" s="97"/>
      <c r="J541" s="97"/>
      <c r="L541" s="97"/>
      <c r="Q541" s="97"/>
    </row>
    <row r="542" ht="15.75" customHeight="1">
      <c r="D542" s="97"/>
      <c r="E542" s="97"/>
      <c r="F542" s="97"/>
      <c r="G542" s="97"/>
      <c r="H542" s="97"/>
      <c r="J542" s="97"/>
      <c r="L542" s="97"/>
      <c r="Q542" s="97"/>
    </row>
    <row r="543" ht="15.75" customHeight="1">
      <c r="D543" s="97"/>
      <c r="E543" s="97"/>
      <c r="F543" s="97"/>
      <c r="G543" s="97"/>
      <c r="H543" s="97"/>
      <c r="J543" s="97"/>
      <c r="L543" s="97"/>
      <c r="Q543" s="97"/>
    </row>
    <row r="544" ht="15.75" customHeight="1">
      <c r="D544" s="97"/>
      <c r="E544" s="97"/>
      <c r="F544" s="97"/>
      <c r="G544" s="97"/>
      <c r="H544" s="97"/>
      <c r="J544" s="97"/>
      <c r="L544" s="97"/>
      <c r="Q544" s="97"/>
    </row>
    <row r="545" ht="15.75" customHeight="1">
      <c r="D545" s="97"/>
      <c r="E545" s="97"/>
      <c r="F545" s="97"/>
      <c r="G545" s="97"/>
      <c r="H545" s="97"/>
      <c r="J545" s="97"/>
      <c r="L545" s="97"/>
      <c r="Q545" s="97"/>
    </row>
    <row r="546" ht="15.75" customHeight="1">
      <c r="D546" s="97"/>
      <c r="E546" s="97"/>
      <c r="F546" s="97"/>
      <c r="G546" s="97"/>
      <c r="H546" s="97"/>
      <c r="J546" s="97"/>
      <c r="L546" s="97"/>
      <c r="Q546" s="97"/>
    </row>
    <row r="547" ht="15.75" customHeight="1">
      <c r="D547" s="97"/>
      <c r="E547" s="97"/>
      <c r="F547" s="97"/>
      <c r="G547" s="97"/>
      <c r="H547" s="97"/>
      <c r="J547" s="97"/>
      <c r="L547" s="97"/>
      <c r="Q547" s="97"/>
    </row>
    <row r="548" ht="15.75" customHeight="1">
      <c r="D548" s="97"/>
      <c r="E548" s="97"/>
      <c r="F548" s="97"/>
      <c r="G548" s="97"/>
      <c r="H548" s="97"/>
      <c r="J548" s="97"/>
      <c r="L548" s="97"/>
      <c r="Q548" s="97"/>
    </row>
    <row r="549" ht="15.75" customHeight="1">
      <c r="D549" s="97"/>
      <c r="E549" s="97"/>
      <c r="F549" s="97"/>
      <c r="G549" s="97"/>
      <c r="H549" s="97"/>
      <c r="J549" s="97"/>
      <c r="L549" s="97"/>
      <c r="Q549" s="97"/>
    </row>
    <row r="550" ht="15.75" customHeight="1">
      <c r="D550" s="97"/>
      <c r="E550" s="97"/>
      <c r="F550" s="97"/>
      <c r="G550" s="97"/>
      <c r="H550" s="97"/>
      <c r="J550" s="97"/>
      <c r="L550" s="97"/>
      <c r="Q550" s="97"/>
    </row>
    <row r="551" ht="15.75" customHeight="1">
      <c r="D551" s="97"/>
      <c r="E551" s="97"/>
      <c r="F551" s="97"/>
      <c r="G551" s="97"/>
      <c r="H551" s="97"/>
      <c r="J551" s="97"/>
      <c r="L551" s="97"/>
      <c r="Q551" s="97"/>
    </row>
    <row r="552" ht="15.75" customHeight="1">
      <c r="D552" s="97"/>
      <c r="E552" s="97"/>
      <c r="F552" s="97"/>
      <c r="G552" s="97"/>
      <c r="H552" s="97"/>
      <c r="J552" s="97"/>
      <c r="L552" s="97"/>
      <c r="Q552" s="97"/>
    </row>
    <row r="553" ht="15.75" customHeight="1">
      <c r="D553" s="97"/>
      <c r="E553" s="97"/>
      <c r="F553" s="97"/>
      <c r="G553" s="97"/>
      <c r="H553" s="97"/>
      <c r="J553" s="97"/>
      <c r="L553" s="97"/>
      <c r="Q553" s="97"/>
    </row>
    <row r="554" ht="15.75" customHeight="1">
      <c r="D554" s="97"/>
      <c r="E554" s="97"/>
      <c r="F554" s="97"/>
      <c r="G554" s="97"/>
      <c r="H554" s="97"/>
      <c r="J554" s="97"/>
      <c r="L554" s="97"/>
      <c r="Q554" s="97"/>
    </row>
    <row r="555" ht="15.75" customHeight="1">
      <c r="D555" s="97"/>
      <c r="E555" s="97"/>
      <c r="F555" s="97"/>
      <c r="G555" s="97"/>
      <c r="H555" s="97"/>
      <c r="J555" s="97"/>
      <c r="L555" s="97"/>
      <c r="Q555" s="97"/>
    </row>
    <row r="556" ht="15.75" customHeight="1">
      <c r="D556" s="97"/>
      <c r="E556" s="97"/>
      <c r="F556" s="97"/>
      <c r="G556" s="97"/>
      <c r="H556" s="97"/>
      <c r="J556" s="97"/>
      <c r="L556" s="97"/>
      <c r="Q556" s="97"/>
    </row>
    <row r="557" ht="15.75" customHeight="1">
      <c r="D557" s="97"/>
      <c r="E557" s="97"/>
      <c r="F557" s="97"/>
      <c r="G557" s="97"/>
      <c r="H557" s="97"/>
      <c r="J557" s="97"/>
      <c r="L557" s="97"/>
      <c r="Q557" s="97"/>
    </row>
    <row r="558" ht="15.75" customHeight="1">
      <c r="D558" s="97"/>
      <c r="E558" s="97"/>
      <c r="F558" s="97"/>
      <c r="G558" s="97"/>
      <c r="H558" s="97"/>
      <c r="J558" s="97"/>
      <c r="L558" s="97"/>
      <c r="Q558" s="97"/>
    </row>
    <row r="559" ht="15.75" customHeight="1">
      <c r="D559" s="97"/>
      <c r="E559" s="97"/>
      <c r="F559" s="97"/>
      <c r="G559" s="97"/>
      <c r="H559" s="97"/>
      <c r="J559" s="97"/>
      <c r="L559" s="97"/>
      <c r="Q559" s="97"/>
    </row>
    <row r="560" ht="15.75" customHeight="1">
      <c r="D560" s="97"/>
      <c r="E560" s="97"/>
      <c r="F560" s="97"/>
      <c r="G560" s="97"/>
      <c r="H560" s="97"/>
      <c r="J560" s="97"/>
      <c r="L560" s="97"/>
      <c r="Q560" s="97"/>
    </row>
    <row r="561" ht="15.75" customHeight="1">
      <c r="D561" s="97"/>
      <c r="E561" s="97"/>
      <c r="F561" s="97"/>
      <c r="G561" s="97"/>
      <c r="H561" s="97"/>
      <c r="J561" s="97"/>
      <c r="L561" s="97"/>
      <c r="Q561" s="97"/>
    </row>
    <row r="562" ht="15.75" customHeight="1">
      <c r="D562" s="97"/>
      <c r="E562" s="97"/>
      <c r="F562" s="97"/>
      <c r="G562" s="97"/>
      <c r="H562" s="97"/>
      <c r="J562" s="97"/>
      <c r="L562" s="97"/>
      <c r="Q562" s="97"/>
    </row>
    <row r="563" ht="15.75" customHeight="1">
      <c r="D563" s="97"/>
      <c r="E563" s="97"/>
      <c r="F563" s="97"/>
      <c r="G563" s="97"/>
      <c r="H563" s="97"/>
      <c r="J563" s="97"/>
      <c r="L563" s="97"/>
      <c r="Q563" s="97"/>
    </row>
    <row r="564" ht="15.75" customHeight="1">
      <c r="D564" s="97"/>
      <c r="E564" s="97"/>
      <c r="F564" s="97"/>
      <c r="G564" s="97"/>
      <c r="H564" s="97"/>
      <c r="J564" s="97"/>
      <c r="L564" s="97"/>
      <c r="Q564" s="97"/>
    </row>
    <row r="565" ht="15.75" customHeight="1">
      <c r="D565" s="97"/>
      <c r="E565" s="97"/>
      <c r="F565" s="97"/>
      <c r="G565" s="97"/>
      <c r="H565" s="97"/>
      <c r="J565" s="97"/>
      <c r="L565" s="97"/>
      <c r="Q565" s="97"/>
    </row>
    <row r="566" ht="15.75" customHeight="1">
      <c r="D566" s="97"/>
      <c r="E566" s="97"/>
      <c r="F566" s="97"/>
      <c r="G566" s="97"/>
      <c r="H566" s="97"/>
      <c r="J566" s="97"/>
      <c r="L566" s="97"/>
      <c r="Q566" s="97"/>
    </row>
    <row r="567" ht="15.75" customHeight="1">
      <c r="D567" s="97"/>
      <c r="E567" s="97"/>
      <c r="F567" s="97"/>
      <c r="G567" s="97"/>
      <c r="H567" s="97"/>
      <c r="J567" s="97"/>
      <c r="L567" s="97"/>
      <c r="Q567" s="97"/>
    </row>
    <row r="568" ht="15.75" customHeight="1">
      <c r="D568" s="97"/>
      <c r="E568" s="97"/>
      <c r="F568" s="97"/>
      <c r="G568" s="97"/>
      <c r="H568" s="97"/>
      <c r="J568" s="97"/>
      <c r="L568" s="97"/>
      <c r="Q568" s="97"/>
    </row>
    <row r="569" ht="15.75" customHeight="1">
      <c r="D569" s="97"/>
      <c r="E569" s="97"/>
      <c r="F569" s="97"/>
      <c r="G569" s="97"/>
      <c r="H569" s="97"/>
      <c r="J569" s="97"/>
      <c r="L569" s="97"/>
      <c r="Q569" s="97"/>
    </row>
    <row r="570" ht="15.75" customHeight="1">
      <c r="D570" s="97"/>
      <c r="E570" s="97"/>
      <c r="F570" s="97"/>
      <c r="G570" s="97"/>
      <c r="H570" s="97"/>
      <c r="J570" s="97"/>
      <c r="L570" s="97"/>
      <c r="Q570" s="97"/>
    </row>
    <row r="571" ht="15.75" customHeight="1">
      <c r="D571" s="97"/>
      <c r="E571" s="97"/>
      <c r="F571" s="97"/>
      <c r="G571" s="97"/>
      <c r="H571" s="97"/>
      <c r="J571" s="97"/>
      <c r="L571" s="97"/>
      <c r="Q571" s="97"/>
    </row>
    <row r="572" ht="15.75" customHeight="1">
      <c r="D572" s="97"/>
      <c r="E572" s="97"/>
      <c r="F572" s="97"/>
      <c r="G572" s="97"/>
      <c r="H572" s="97"/>
      <c r="J572" s="97"/>
      <c r="L572" s="97"/>
      <c r="Q572" s="97"/>
    </row>
    <row r="573" ht="15.75" customHeight="1">
      <c r="D573" s="97"/>
      <c r="E573" s="97"/>
      <c r="F573" s="97"/>
      <c r="G573" s="97"/>
      <c r="H573" s="97"/>
      <c r="J573" s="97"/>
      <c r="L573" s="97"/>
      <c r="Q573" s="97"/>
    </row>
    <row r="574" ht="15.75" customHeight="1">
      <c r="D574" s="97"/>
      <c r="E574" s="97"/>
      <c r="F574" s="97"/>
      <c r="G574" s="97"/>
      <c r="H574" s="97"/>
      <c r="J574" s="97"/>
      <c r="L574" s="97"/>
      <c r="Q574" s="97"/>
    </row>
    <row r="575" ht="15.75" customHeight="1">
      <c r="D575" s="97"/>
      <c r="E575" s="97"/>
      <c r="F575" s="97"/>
      <c r="G575" s="97"/>
      <c r="H575" s="97"/>
      <c r="J575" s="97"/>
      <c r="L575" s="97"/>
      <c r="Q575" s="97"/>
    </row>
    <row r="576" ht="15.75" customHeight="1">
      <c r="D576" s="97"/>
      <c r="E576" s="97"/>
      <c r="F576" s="97"/>
      <c r="G576" s="97"/>
      <c r="H576" s="97"/>
      <c r="J576" s="97"/>
      <c r="L576" s="97"/>
      <c r="Q576" s="97"/>
    </row>
    <row r="577" ht="15.75" customHeight="1">
      <c r="D577" s="97"/>
      <c r="E577" s="97"/>
      <c r="F577" s="97"/>
      <c r="G577" s="97"/>
      <c r="H577" s="97"/>
      <c r="J577" s="97"/>
      <c r="L577" s="97"/>
      <c r="Q577" s="97"/>
    </row>
    <row r="578" ht="15.75" customHeight="1">
      <c r="D578" s="97"/>
      <c r="E578" s="97"/>
      <c r="F578" s="97"/>
      <c r="G578" s="97"/>
      <c r="H578" s="97"/>
      <c r="J578" s="97"/>
      <c r="L578" s="97"/>
      <c r="Q578" s="97"/>
    </row>
    <row r="579" ht="15.75" customHeight="1">
      <c r="D579" s="97"/>
      <c r="E579" s="97"/>
      <c r="F579" s="97"/>
      <c r="G579" s="97"/>
      <c r="H579" s="97"/>
      <c r="J579" s="97"/>
      <c r="L579" s="97"/>
      <c r="Q579" s="97"/>
    </row>
    <row r="580" ht="15.75" customHeight="1">
      <c r="D580" s="97"/>
      <c r="E580" s="97"/>
      <c r="F580" s="97"/>
      <c r="G580" s="97"/>
      <c r="H580" s="97"/>
      <c r="J580" s="97"/>
      <c r="L580" s="97"/>
      <c r="Q580" s="97"/>
    </row>
    <row r="581" ht="15.75" customHeight="1">
      <c r="D581" s="97"/>
      <c r="E581" s="97"/>
      <c r="F581" s="97"/>
      <c r="G581" s="97"/>
      <c r="H581" s="97"/>
      <c r="J581" s="97"/>
      <c r="L581" s="97"/>
      <c r="Q581" s="97"/>
    </row>
    <row r="582" ht="15.75" customHeight="1">
      <c r="D582" s="97"/>
      <c r="E582" s="97"/>
      <c r="F582" s="97"/>
      <c r="G582" s="97"/>
      <c r="H582" s="97"/>
      <c r="J582" s="97"/>
      <c r="L582" s="97"/>
      <c r="Q582" s="97"/>
    </row>
    <row r="583" ht="15.75" customHeight="1">
      <c r="D583" s="97"/>
      <c r="E583" s="97"/>
      <c r="F583" s="97"/>
      <c r="G583" s="97"/>
      <c r="H583" s="97"/>
      <c r="J583" s="97"/>
      <c r="L583" s="97"/>
      <c r="Q583" s="97"/>
    </row>
    <row r="584" ht="15.75" customHeight="1">
      <c r="D584" s="97"/>
      <c r="E584" s="97"/>
      <c r="F584" s="97"/>
      <c r="G584" s="97"/>
      <c r="H584" s="97"/>
      <c r="J584" s="97"/>
      <c r="L584" s="97"/>
      <c r="Q584" s="97"/>
    </row>
    <row r="585" ht="15.75" customHeight="1">
      <c r="D585" s="97"/>
      <c r="E585" s="97"/>
      <c r="F585" s="97"/>
      <c r="G585" s="97"/>
      <c r="H585" s="97"/>
      <c r="J585" s="97"/>
      <c r="L585" s="97"/>
      <c r="Q585" s="97"/>
    </row>
    <row r="586" ht="15.75" customHeight="1">
      <c r="D586" s="97"/>
      <c r="E586" s="97"/>
      <c r="F586" s="97"/>
      <c r="G586" s="97"/>
      <c r="H586" s="97"/>
      <c r="J586" s="97"/>
      <c r="L586" s="97"/>
      <c r="Q586" s="97"/>
    </row>
    <row r="587" ht="15.75" customHeight="1">
      <c r="D587" s="97"/>
      <c r="E587" s="97"/>
      <c r="F587" s="97"/>
      <c r="G587" s="97"/>
      <c r="H587" s="97"/>
      <c r="J587" s="97"/>
      <c r="L587" s="97"/>
      <c r="Q587" s="97"/>
    </row>
    <row r="588" ht="15.75" customHeight="1">
      <c r="D588" s="97"/>
      <c r="E588" s="97"/>
      <c r="F588" s="97"/>
      <c r="G588" s="97"/>
      <c r="H588" s="97"/>
      <c r="J588" s="97"/>
      <c r="L588" s="97"/>
      <c r="Q588" s="97"/>
    </row>
    <row r="589" ht="15.75" customHeight="1">
      <c r="D589" s="97"/>
      <c r="E589" s="97"/>
      <c r="F589" s="97"/>
      <c r="G589" s="97"/>
      <c r="H589" s="97"/>
      <c r="J589" s="97"/>
      <c r="L589" s="97"/>
      <c r="Q589" s="97"/>
    </row>
    <row r="590" ht="15.75" customHeight="1">
      <c r="D590" s="97"/>
      <c r="E590" s="97"/>
      <c r="F590" s="97"/>
      <c r="G590" s="97"/>
      <c r="H590" s="97"/>
      <c r="J590" s="97"/>
      <c r="L590" s="97"/>
      <c r="Q590" s="97"/>
    </row>
    <row r="591" ht="15.75" customHeight="1">
      <c r="D591" s="97"/>
      <c r="E591" s="97"/>
      <c r="F591" s="97"/>
      <c r="G591" s="97"/>
      <c r="H591" s="97"/>
      <c r="J591" s="97"/>
      <c r="L591" s="97"/>
      <c r="Q591" s="97"/>
    </row>
    <row r="592" ht="15.75" customHeight="1">
      <c r="D592" s="97"/>
      <c r="E592" s="97"/>
      <c r="F592" s="97"/>
      <c r="G592" s="97"/>
      <c r="H592" s="97"/>
      <c r="J592" s="97"/>
      <c r="L592" s="97"/>
      <c r="Q592" s="97"/>
    </row>
    <row r="593" ht="15.75" customHeight="1">
      <c r="D593" s="97"/>
      <c r="E593" s="97"/>
      <c r="F593" s="97"/>
      <c r="G593" s="97"/>
      <c r="H593" s="97"/>
      <c r="J593" s="97"/>
      <c r="L593" s="97"/>
      <c r="Q593" s="97"/>
    </row>
    <row r="594" ht="15.75" customHeight="1">
      <c r="D594" s="97"/>
      <c r="E594" s="97"/>
      <c r="F594" s="97"/>
      <c r="G594" s="97"/>
      <c r="H594" s="97"/>
      <c r="J594" s="97"/>
      <c r="L594" s="97"/>
      <c r="Q594" s="97"/>
    </row>
    <row r="595" ht="15.75" customHeight="1">
      <c r="D595" s="97"/>
      <c r="E595" s="97"/>
      <c r="F595" s="97"/>
      <c r="G595" s="97"/>
      <c r="H595" s="97"/>
      <c r="J595" s="97"/>
      <c r="L595" s="97"/>
      <c r="Q595" s="97"/>
    </row>
    <row r="596" ht="15.75" customHeight="1">
      <c r="D596" s="97"/>
      <c r="E596" s="97"/>
      <c r="F596" s="97"/>
      <c r="G596" s="97"/>
      <c r="H596" s="97"/>
      <c r="J596" s="97"/>
      <c r="L596" s="97"/>
      <c r="Q596" s="97"/>
    </row>
    <row r="597" ht="15.75" customHeight="1">
      <c r="D597" s="97"/>
      <c r="E597" s="97"/>
      <c r="F597" s="97"/>
      <c r="G597" s="97"/>
      <c r="H597" s="97"/>
      <c r="J597" s="97"/>
      <c r="L597" s="97"/>
      <c r="Q597" s="97"/>
    </row>
    <row r="598" ht="15.75" customHeight="1">
      <c r="D598" s="97"/>
      <c r="E598" s="97"/>
      <c r="F598" s="97"/>
      <c r="G598" s="97"/>
      <c r="H598" s="97"/>
      <c r="J598" s="97"/>
      <c r="L598" s="97"/>
      <c r="Q598" s="97"/>
    </row>
    <row r="599" ht="15.75" customHeight="1">
      <c r="D599" s="97"/>
      <c r="E599" s="97"/>
      <c r="F599" s="97"/>
      <c r="G599" s="97"/>
      <c r="H599" s="97"/>
      <c r="J599" s="97"/>
      <c r="L599" s="97"/>
      <c r="Q599" s="97"/>
    </row>
    <row r="600" ht="15.75" customHeight="1">
      <c r="D600" s="97"/>
      <c r="E600" s="97"/>
      <c r="F600" s="97"/>
      <c r="G600" s="97"/>
      <c r="H600" s="97"/>
      <c r="J600" s="97"/>
      <c r="L600" s="97"/>
      <c r="Q600" s="97"/>
    </row>
    <row r="601" ht="15.75" customHeight="1">
      <c r="D601" s="97"/>
      <c r="E601" s="97"/>
      <c r="F601" s="97"/>
      <c r="G601" s="97"/>
      <c r="H601" s="97"/>
      <c r="J601" s="97"/>
      <c r="L601" s="97"/>
      <c r="Q601" s="97"/>
    </row>
    <row r="602" ht="15.75" customHeight="1">
      <c r="D602" s="97"/>
      <c r="E602" s="97"/>
      <c r="F602" s="97"/>
      <c r="G602" s="97"/>
      <c r="H602" s="97"/>
      <c r="J602" s="97"/>
      <c r="L602" s="97"/>
      <c r="Q602" s="97"/>
    </row>
    <row r="603" ht="15.75" customHeight="1">
      <c r="D603" s="97"/>
      <c r="E603" s="97"/>
      <c r="F603" s="97"/>
      <c r="G603" s="97"/>
      <c r="H603" s="97"/>
      <c r="J603" s="97"/>
      <c r="L603" s="97"/>
      <c r="Q603" s="97"/>
    </row>
    <row r="604" ht="15.75" customHeight="1">
      <c r="D604" s="97"/>
      <c r="E604" s="97"/>
      <c r="F604" s="97"/>
      <c r="G604" s="97"/>
      <c r="H604" s="97"/>
      <c r="J604" s="97"/>
      <c r="L604" s="97"/>
      <c r="Q604" s="97"/>
    </row>
    <row r="605" ht="15.75" customHeight="1">
      <c r="D605" s="97"/>
      <c r="E605" s="97"/>
      <c r="F605" s="97"/>
      <c r="G605" s="97"/>
      <c r="H605" s="97"/>
      <c r="J605" s="97"/>
      <c r="L605" s="97"/>
      <c r="Q605" s="97"/>
    </row>
    <row r="606" ht="15.75" customHeight="1">
      <c r="D606" s="97"/>
      <c r="E606" s="97"/>
      <c r="F606" s="97"/>
      <c r="G606" s="97"/>
      <c r="H606" s="97"/>
      <c r="J606" s="97"/>
      <c r="L606" s="97"/>
      <c r="Q606" s="97"/>
    </row>
    <row r="607" ht="15.75" customHeight="1">
      <c r="D607" s="97"/>
      <c r="E607" s="97"/>
      <c r="F607" s="97"/>
      <c r="G607" s="97"/>
      <c r="H607" s="97"/>
      <c r="J607" s="97"/>
      <c r="L607" s="97"/>
      <c r="Q607" s="97"/>
    </row>
    <row r="608" ht="15.75" customHeight="1">
      <c r="D608" s="97"/>
      <c r="E608" s="97"/>
      <c r="F608" s="97"/>
      <c r="G608" s="97"/>
      <c r="H608" s="97"/>
      <c r="J608" s="97"/>
      <c r="L608" s="97"/>
      <c r="Q608" s="97"/>
    </row>
    <row r="609" ht="15.75" customHeight="1">
      <c r="D609" s="97"/>
      <c r="E609" s="97"/>
      <c r="F609" s="97"/>
      <c r="G609" s="97"/>
      <c r="H609" s="97"/>
      <c r="J609" s="97"/>
      <c r="L609" s="97"/>
      <c r="Q609" s="97"/>
    </row>
    <row r="610" ht="15.75" customHeight="1">
      <c r="D610" s="97"/>
      <c r="E610" s="97"/>
      <c r="F610" s="97"/>
      <c r="G610" s="97"/>
      <c r="H610" s="97"/>
      <c r="J610" s="97"/>
      <c r="L610" s="97"/>
      <c r="Q610" s="97"/>
    </row>
    <row r="611" ht="15.75" customHeight="1">
      <c r="D611" s="97"/>
      <c r="E611" s="97"/>
      <c r="F611" s="97"/>
      <c r="G611" s="97"/>
      <c r="H611" s="97"/>
      <c r="J611" s="97"/>
      <c r="L611" s="97"/>
      <c r="Q611" s="97"/>
    </row>
    <row r="612" ht="15.75" customHeight="1">
      <c r="D612" s="97"/>
      <c r="E612" s="97"/>
      <c r="F612" s="97"/>
      <c r="G612" s="97"/>
      <c r="H612" s="97"/>
      <c r="J612" s="97"/>
      <c r="L612" s="97"/>
      <c r="Q612" s="97"/>
    </row>
    <row r="613" ht="15.75" customHeight="1">
      <c r="D613" s="97"/>
      <c r="E613" s="97"/>
      <c r="F613" s="97"/>
      <c r="G613" s="97"/>
      <c r="H613" s="97"/>
      <c r="J613" s="97"/>
      <c r="L613" s="97"/>
      <c r="Q613" s="97"/>
    </row>
    <row r="614" ht="15.75" customHeight="1">
      <c r="D614" s="97"/>
      <c r="E614" s="97"/>
      <c r="F614" s="97"/>
      <c r="G614" s="97"/>
      <c r="H614" s="97"/>
      <c r="J614" s="97"/>
      <c r="L614" s="97"/>
      <c r="Q614" s="97"/>
    </row>
    <row r="615" ht="15.75" customHeight="1">
      <c r="D615" s="97"/>
      <c r="E615" s="97"/>
      <c r="F615" s="97"/>
      <c r="G615" s="97"/>
      <c r="H615" s="97"/>
      <c r="J615" s="97"/>
      <c r="L615" s="97"/>
      <c r="Q615" s="97"/>
    </row>
    <row r="616" ht="15.75" customHeight="1">
      <c r="D616" s="97"/>
      <c r="E616" s="97"/>
      <c r="F616" s="97"/>
      <c r="G616" s="97"/>
      <c r="H616" s="97"/>
      <c r="J616" s="97"/>
      <c r="L616" s="97"/>
      <c r="Q616" s="97"/>
    </row>
    <row r="617" ht="15.75" customHeight="1">
      <c r="D617" s="97"/>
      <c r="E617" s="97"/>
      <c r="F617" s="97"/>
      <c r="G617" s="97"/>
      <c r="H617" s="97"/>
      <c r="J617" s="97"/>
      <c r="L617" s="97"/>
      <c r="Q617" s="97"/>
    </row>
    <row r="618" ht="15.75" customHeight="1">
      <c r="D618" s="97"/>
      <c r="E618" s="97"/>
      <c r="F618" s="97"/>
      <c r="G618" s="97"/>
      <c r="H618" s="97"/>
      <c r="J618" s="97"/>
      <c r="L618" s="97"/>
      <c r="Q618" s="97"/>
    </row>
    <row r="619" ht="15.75" customHeight="1">
      <c r="D619" s="97"/>
      <c r="E619" s="97"/>
      <c r="F619" s="97"/>
      <c r="G619" s="97"/>
      <c r="H619" s="97"/>
      <c r="J619" s="97"/>
      <c r="L619" s="97"/>
      <c r="Q619" s="97"/>
    </row>
    <row r="620" ht="15.75" customHeight="1">
      <c r="D620" s="97"/>
      <c r="E620" s="97"/>
      <c r="F620" s="97"/>
      <c r="G620" s="97"/>
      <c r="H620" s="97"/>
      <c r="J620" s="97"/>
      <c r="L620" s="97"/>
      <c r="Q620" s="97"/>
    </row>
    <row r="621" ht="15.75" customHeight="1">
      <c r="D621" s="97"/>
      <c r="E621" s="97"/>
      <c r="F621" s="97"/>
      <c r="G621" s="97"/>
      <c r="H621" s="97"/>
      <c r="J621" s="97"/>
      <c r="L621" s="97"/>
      <c r="Q621" s="97"/>
    </row>
    <row r="622" ht="15.75" customHeight="1">
      <c r="D622" s="97"/>
      <c r="E622" s="97"/>
      <c r="F622" s="97"/>
      <c r="G622" s="97"/>
      <c r="H622" s="97"/>
      <c r="J622" s="97"/>
      <c r="L622" s="97"/>
      <c r="Q622" s="97"/>
    </row>
    <row r="623" ht="15.75" customHeight="1">
      <c r="D623" s="97"/>
      <c r="E623" s="97"/>
      <c r="F623" s="97"/>
      <c r="G623" s="97"/>
      <c r="H623" s="97"/>
      <c r="J623" s="97"/>
      <c r="L623" s="97"/>
      <c r="Q623" s="97"/>
    </row>
    <row r="624" ht="15.75" customHeight="1">
      <c r="D624" s="97"/>
      <c r="E624" s="97"/>
      <c r="F624" s="97"/>
      <c r="G624" s="97"/>
      <c r="H624" s="97"/>
      <c r="J624" s="97"/>
      <c r="L624" s="97"/>
      <c r="Q624" s="97"/>
    </row>
    <row r="625" ht="15.75" customHeight="1">
      <c r="D625" s="97"/>
      <c r="E625" s="97"/>
      <c r="F625" s="97"/>
      <c r="G625" s="97"/>
      <c r="H625" s="97"/>
      <c r="J625" s="97"/>
      <c r="L625" s="97"/>
      <c r="Q625" s="97"/>
    </row>
    <row r="626" ht="15.75" customHeight="1">
      <c r="D626" s="97"/>
      <c r="E626" s="97"/>
      <c r="F626" s="97"/>
      <c r="G626" s="97"/>
      <c r="H626" s="97"/>
      <c r="J626" s="97"/>
      <c r="L626" s="97"/>
      <c r="Q626" s="97"/>
    </row>
    <row r="627" ht="15.75" customHeight="1">
      <c r="D627" s="97"/>
      <c r="E627" s="97"/>
      <c r="F627" s="97"/>
      <c r="G627" s="97"/>
      <c r="H627" s="97"/>
      <c r="J627" s="97"/>
      <c r="L627" s="97"/>
      <c r="Q627" s="97"/>
    </row>
    <row r="628" ht="15.75" customHeight="1">
      <c r="D628" s="97"/>
      <c r="E628" s="97"/>
      <c r="F628" s="97"/>
      <c r="G628" s="97"/>
      <c r="H628" s="97"/>
      <c r="J628" s="97"/>
      <c r="L628" s="97"/>
      <c r="Q628" s="97"/>
    </row>
    <row r="629" ht="15.75" customHeight="1">
      <c r="D629" s="97"/>
      <c r="E629" s="97"/>
      <c r="F629" s="97"/>
      <c r="G629" s="97"/>
      <c r="H629" s="97"/>
      <c r="J629" s="97"/>
      <c r="L629" s="97"/>
      <c r="Q629" s="97"/>
    </row>
    <row r="630" ht="15.75" customHeight="1">
      <c r="D630" s="97"/>
      <c r="E630" s="97"/>
      <c r="F630" s="97"/>
      <c r="G630" s="97"/>
      <c r="H630" s="97"/>
      <c r="J630" s="97"/>
      <c r="L630" s="97"/>
      <c r="Q630" s="97"/>
    </row>
    <row r="631" ht="15.75" customHeight="1">
      <c r="D631" s="97"/>
      <c r="E631" s="97"/>
      <c r="F631" s="97"/>
      <c r="G631" s="97"/>
      <c r="H631" s="97"/>
      <c r="J631" s="97"/>
      <c r="L631" s="97"/>
      <c r="Q631" s="97"/>
    </row>
    <row r="632" ht="15.75" customHeight="1">
      <c r="D632" s="97"/>
      <c r="E632" s="97"/>
      <c r="F632" s="97"/>
      <c r="G632" s="97"/>
      <c r="H632" s="97"/>
      <c r="J632" s="97"/>
      <c r="L632" s="97"/>
      <c r="Q632" s="97"/>
    </row>
    <row r="633" ht="15.75" customHeight="1">
      <c r="D633" s="97"/>
      <c r="E633" s="97"/>
      <c r="F633" s="97"/>
      <c r="G633" s="97"/>
      <c r="H633" s="97"/>
      <c r="J633" s="97"/>
      <c r="L633" s="97"/>
      <c r="Q633" s="97"/>
    </row>
    <row r="634" ht="15.75" customHeight="1">
      <c r="D634" s="97"/>
      <c r="E634" s="97"/>
      <c r="F634" s="97"/>
      <c r="G634" s="97"/>
      <c r="H634" s="97"/>
      <c r="J634" s="97"/>
      <c r="L634" s="97"/>
      <c r="Q634" s="97"/>
    </row>
    <row r="635" ht="15.75" customHeight="1">
      <c r="D635" s="97"/>
      <c r="E635" s="97"/>
      <c r="F635" s="97"/>
      <c r="G635" s="97"/>
      <c r="H635" s="97"/>
      <c r="J635" s="97"/>
      <c r="L635" s="97"/>
      <c r="Q635" s="97"/>
    </row>
    <row r="636" ht="15.75" customHeight="1">
      <c r="D636" s="97"/>
      <c r="E636" s="97"/>
      <c r="F636" s="97"/>
      <c r="G636" s="97"/>
      <c r="H636" s="97"/>
      <c r="J636" s="97"/>
      <c r="L636" s="97"/>
      <c r="Q636" s="97"/>
    </row>
    <row r="637" ht="15.75" customHeight="1">
      <c r="D637" s="97"/>
      <c r="E637" s="97"/>
      <c r="F637" s="97"/>
      <c r="G637" s="97"/>
      <c r="H637" s="97"/>
      <c r="J637" s="97"/>
      <c r="L637" s="97"/>
      <c r="Q637" s="97"/>
    </row>
    <row r="638" ht="15.75" customHeight="1">
      <c r="D638" s="97"/>
      <c r="E638" s="97"/>
      <c r="F638" s="97"/>
      <c r="G638" s="97"/>
      <c r="H638" s="97"/>
      <c r="J638" s="97"/>
      <c r="L638" s="97"/>
      <c r="Q638" s="97"/>
    </row>
    <row r="639" ht="15.75" customHeight="1">
      <c r="D639" s="97"/>
      <c r="E639" s="97"/>
      <c r="F639" s="97"/>
      <c r="G639" s="97"/>
      <c r="H639" s="97"/>
      <c r="J639" s="97"/>
      <c r="L639" s="97"/>
      <c r="Q639" s="97"/>
    </row>
    <row r="640" ht="15.75" customHeight="1">
      <c r="D640" s="97"/>
      <c r="E640" s="97"/>
      <c r="F640" s="97"/>
      <c r="G640" s="97"/>
      <c r="H640" s="97"/>
      <c r="J640" s="97"/>
      <c r="L640" s="97"/>
      <c r="Q640" s="97"/>
    </row>
    <row r="641" ht="15.75" customHeight="1">
      <c r="D641" s="97"/>
      <c r="E641" s="97"/>
      <c r="F641" s="97"/>
      <c r="G641" s="97"/>
      <c r="H641" s="97"/>
      <c r="J641" s="97"/>
      <c r="L641" s="97"/>
      <c r="Q641" s="97"/>
    </row>
    <row r="642" ht="15.75" customHeight="1">
      <c r="D642" s="97"/>
      <c r="E642" s="97"/>
      <c r="F642" s="97"/>
      <c r="G642" s="97"/>
      <c r="H642" s="97"/>
      <c r="J642" s="97"/>
      <c r="L642" s="97"/>
      <c r="Q642" s="97"/>
    </row>
    <row r="643" ht="15.75" customHeight="1">
      <c r="D643" s="97"/>
      <c r="E643" s="97"/>
      <c r="F643" s="97"/>
      <c r="G643" s="97"/>
      <c r="H643" s="97"/>
      <c r="J643" s="97"/>
      <c r="L643" s="97"/>
      <c r="Q643" s="97"/>
    </row>
    <row r="644" ht="15.75" customHeight="1">
      <c r="D644" s="97"/>
      <c r="E644" s="97"/>
      <c r="F644" s="97"/>
      <c r="G644" s="97"/>
      <c r="H644" s="97"/>
      <c r="J644" s="97"/>
      <c r="L644" s="97"/>
      <c r="Q644" s="97"/>
    </row>
    <row r="645" ht="15.75" customHeight="1">
      <c r="D645" s="97"/>
      <c r="E645" s="97"/>
      <c r="F645" s="97"/>
      <c r="G645" s="97"/>
      <c r="H645" s="97"/>
      <c r="J645" s="97"/>
      <c r="L645" s="97"/>
      <c r="Q645" s="97"/>
    </row>
    <row r="646" ht="15.75" customHeight="1">
      <c r="D646" s="97"/>
      <c r="E646" s="97"/>
      <c r="F646" s="97"/>
      <c r="G646" s="97"/>
      <c r="H646" s="97"/>
      <c r="J646" s="97"/>
      <c r="L646" s="97"/>
      <c r="Q646" s="97"/>
    </row>
    <row r="647" ht="15.75" customHeight="1">
      <c r="D647" s="97"/>
      <c r="E647" s="97"/>
      <c r="F647" s="97"/>
      <c r="G647" s="97"/>
      <c r="H647" s="97"/>
      <c r="J647" s="97"/>
      <c r="L647" s="97"/>
      <c r="Q647" s="97"/>
    </row>
    <row r="648" ht="15.75" customHeight="1">
      <c r="D648" s="97"/>
      <c r="E648" s="97"/>
      <c r="F648" s="97"/>
      <c r="G648" s="97"/>
      <c r="H648" s="97"/>
      <c r="J648" s="97"/>
      <c r="L648" s="97"/>
      <c r="Q648" s="97"/>
    </row>
    <row r="649" ht="15.75" customHeight="1">
      <c r="D649" s="97"/>
      <c r="E649" s="97"/>
      <c r="F649" s="97"/>
      <c r="G649" s="97"/>
      <c r="H649" s="97"/>
      <c r="J649" s="97"/>
      <c r="L649" s="97"/>
      <c r="Q649" s="97"/>
    </row>
    <row r="650" ht="15.75" customHeight="1">
      <c r="D650" s="97"/>
      <c r="E650" s="97"/>
      <c r="F650" s="97"/>
      <c r="G650" s="97"/>
      <c r="H650" s="97"/>
      <c r="J650" s="97"/>
      <c r="L650" s="97"/>
      <c r="Q650" s="97"/>
    </row>
    <row r="651" ht="15.75" customHeight="1">
      <c r="D651" s="97"/>
      <c r="E651" s="97"/>
      <c r="F651" s="97"/>
      <c r="G651" s="97"/>
      <c r="H651" s="97"/>
      <c r="J651" s="97"/>
      <c r="L651" s="97"/>
      <c r="Q651" s="97"/>
    </row>
    <row r="652" ht="15.75" customHeight="1">
      <c r="D652" s="97"/>
      <c r="E652" s="97"/>
      <c r="F652" s="97"/>
      <c r="G652" s="97"/>
      <c r="H652" s="97"/>
      <c r="J652" s="97"/>
      <c r="L652" s="97"/>
      <c r="Q652" s="97"/>
    </row>
    <row r="653" ht="15.75" customHeight="1">
      <c r="D653" s="97"/>
      <c r="E653" s="97"/>
      <c r="F653" s="97"/>
      <c r="G653" s="97"/>
      <c r="H653" s="97"/>
      <c r="J653" s="97"/>
      <c r="L653" s="97"/>
      <c r="Q653" s="97"/>
    </row>
    <row r="654" ht="15.75" customHeight="1">
      <c r="D654" s="97"/>
      <c r="E654" s="97"/>
      <c r="F654" s="97"/>
      <c r="G654" s="97"/>
      <c r="H654" s="97"/>
      <c r="J654" s="97"/>
      <c r="L654" s="97"/>
      <c r="Q654" s="97"/>
    </row>
    <row r="655" ht="15.75" customHeight="1">
      <c r="D655" s="97"/>
      <c r="E655" s="97"/>
      <c r="F655" s="97"/>
      <c r="G655" s="97"/>
      <c r="H655" s="97"/>
      <c r="J655" s="97"/>
      <c r="L655" s="97"/>
      <c r="Q655" s="97"/>
    </row>
    <row r="656" ht="15.75" customHeight="1">
      <c r="D656" s="97"/>
      <c r="E656" s="97"/>
      <c r="F656" s="97"/>
      <c r="G656" s="97"/>
      <c r="H656" s="97"/>
      <c r="J656" s="97"/>
      <c r="L656" s="97"/>
      <c r="Q656" s="97"/>
    </row>
    <row r="657" ht="15.75" customHeight="1">
      <c r="D657" s="97"/>
      <c r="E657" s="97"/>
      <c r="F657" s="97"/>
      <c r="G657" s="97"/>
      <c r="H657" s="97"/>
      <c r="J657" s="97"/>
      <c r="L657" s="97"/>
      <c r="Q657" s="97"/>
    </row>
    <row r="658" ht="15.75" customHeight="1">
      <c r="D658" s="97"/>
      <c r="E658" s="97"/>
      <c r="F658" s="97"/>
      <c r="G658" s="97"/>
      <c r="H658" s="97"/>
      <c r="J658" s="97"/>
      <c r="L658" s="97"/>
      <c r="Q658" s="97"/>
    </row>
    <row r="659" ht="15.75" customHeight="1">
      <c r="D659" s="97"/>
      <c r="E659" s="97"/>
      <c r="F659" s="97"/>
      <c r="G659" s="97"/>
      <c r="H659" s="97"/>
      <c r="J659" s="97"/>
      <c r="L659" s="97"/>
      <c r="Q659" s="97"/>
    </row>
    <row r="660" ht="15.75" customHeight="1">
      <c r="D660" s="97"/>
      <c r="E660" s="97"/>
      <c r="F660" s="97"/>
      <c r="G660" s="97"/>
      <c r="H660" s="97"/>
      <c r="J660" s="97"/>
      <c r="L660" s="97"/>
      <c r="Q660" s="97"/>
    </row>
    <row r="661" ht="15.75" customHeight="1">
      <c r="D661" s="97"/>
      <c r="E661" s="97"/>
      <c r="F661" s="97"/>
      <c r="G661" s="97"/>
      <c r="H661" s="97"/>
      <c r="J661" s="97"/>
      <c r="L661" s="97"/>
      <c r="Q661" s="97"/>
    </row>
    <row r="662" ht="15.75" customHeight="1">
      <c r="D662" s="97"/>
      <c r="E662" s="97"/>
      <c r="F662" s="97"/>
      <c r="G662" s="97"/>
      <c r="H662" s="97"/>
      <c r="J662" s="97"/>
      <c r="L662" s="97"/>
      <c r="Q662" s="97"/>
    </row>
    <row r="663" ht="15.75" customHeight="1">
      <c r="D663" s="97"/>
      <c r="E663" s="97"/>
      <c r="F663" s="97"/>
      <c r="G663" s="97"/>
      <c r="H663" s="97"/>
      <c r="J663" s="97"/>
      <c r="L663" s="97"/>
      <c r="Q663" s="97"/>
    </row>
    <row r="664" ht="15.75" customHeight="1">
      <c r="D664" s="97"/>
      <c r="E664" s="97"/>
      <c r="F664" s="97"/>
      <c r="G664" s="97"/>
      <c r="H664" s="97"/>
      <c r="J664" s="97"/>
      <c r="L664" s="97"/>
      <c r="Q664" s="97"/>
    </row>
    <row r="665" ht="15.75" customHeight="1">
      <c r="D665" s="97"/>
      <c r="E665" s="97"/>
      <c r="F665" s="97"/>
      <c r="G665" s="97"/>
      <c r="H665" s="97"/>
      <c r="J665" s="97"/>
      <c r="L665" s="97"/>
      <c r="Q665" s="97"/>
    </row>
    <row r="666" ht="15.75" customHeight="1">
      <c r="D666" s="97"/>
      <c r="E666" s="97"/>
      <c r="F666" s="97"/>
      <c r="G666" s="97"/>
      <c r="H666" s="97"/>
      <c r="J666" s="97"/>
      <c r="L666" s="97"/>
      <c r="Q666" s="97"/>
    </row>
    <row r="667" ht="15.75" customHeight="1">
      <c r="D667" s="97"/>
      <c r="E667" s="97"/>
      <c r="F667" s="97"/>
      <c r="G667" s="97"/>
      <c r="H667" s="97"/>
      <c r="J667" s="97"/>
      <c r="L667" s="97"/>
      <c r="Q667" s="97"/>
    </row>
    <row r="668" ht="15.75" customHeight="1">
      <c r="D668" s="97"/>
      <c r="E668" s="97"/>
      <c r="F668" s="97"/>
      <c r="G668" s="97"/>
      <c r="H668" s="97"/>
      <c r="J668" s="97"/>
      <c r="L668" s="97"/>
      <c r="Q668" s="97"/>
    </row>
    <row r="669" ht="15.75" customHeight="1">
      <c r="D669" s="97"/>
      <c r="E669" s="97"/>
      <c r="F669" s="97"/>
      <c r="G669" s="97"/>
      <c r="H669" s="97"/>
      <c r="J669" s="97"/>
      <c r="L669" s="97"/>
      <c r="Q669" s="97"/>
    </row>
    <row r="670" ht="15.75" customHeight="1">
      <c r="D670" s="97"/>
      <c r="E670" s="97"/>
      <c r="F670" s="97"/>
      <c r="G670" s="97"/>
      <c r="H670" s="97"/>
      <c r="J670" s="97"/>
      <c r="L670" s="97"/>
      <c r="Q670" s="97"/>
    </row>
    <row r="671" ht="15.75" customHeight="1">
      <c r="D671" s="97"/>
      <c r="E671" s="97"/>
      <c r="F671" s="97"/>
      <c r="G671" s="97"/>
      <c r="H671" s="97"/>
      <c r="J671" s="97"/>
      <c r="L671" s="97"/>
      <c r="Q671" s="97"/>
    </row>
    <row r="672" ht="15.75" customHeight="1">
      <c r="D672" s="97"/>
      <c r="E672" s="97"/>
      <c r="F672" s="97"/>
      <c r="G672" s="97"/>
      <c r="H672" s="97"/>
      <c r="J672" s="97"/>
      <c r="L672" s="97"/>
      <c r="Q672" s="97"/>
    </row>
    <row r="673" ht="15.75" customHeight="1">
      <c r="D673" s="97"/>
      <c r="E673" s="97"/>
      <c r="F673" s="97"/>
      <c r="G673" s="97"/>
      <c r="H673" s="97"/>
      <c r="J673" s="97"/>
      <c r="L673" s="97"/>
      <c r="Q673" s="97"/>
    </row>
    <row r="674" ht="15.75" customHeight="1">
      <c r="D674" s="97"/>
      <c r="E674" s="97"/>
      <c r="F674" s="97"/>
      <c r="G674" s="97"/>
      <c r="H674" s="97"/>
      <c r="J674" s="97"/>
      <c r="L674" s="97"/>
      <c r="Q674" s="97"/>
    </row>
    <row r="675" ht="15.75" customHeight="1">
      <c r="D675" s="97"/>
      <c r="E675" s="97"/>
      <c r="F675" s="97"/>
      <c r="G675" s="97"/>
      <c r="H675" s="97"/>
      <c r="J675" s="97"/>
      <c r="L675" s="97"/>
      <c r="Q675" s="97"/>
    </row>
    <row r="676" ht="15.75" customHeight="1">
      <c r="D676" s="97"/>
      <c r="E676" s="97"/>
      <c r="F676" s="97"/>
      <c r="G676" s="97"/>
      <c r="H676" s="97"/>
      <c r="J676" s="97"/>
      <c r="L676" s="97"/>
      <c r="Q676" s="97"/>
    </row>
    <row r="677" ht="15.75" customHeight="1">
      <c r="D677" s="97"/>
      <c r="E677" s="97"/>
      <c r="F677" s="97"/>
      <c r="G677" s="97"/>
      <c r="H677" s="97"/>
      <c r="J677" s="97"/>
      <c r="L677" s="97"/>
      <c r="Q677" s="97"/>
    </row>
    <row r="678" ht="15.75" customHeight="1">
      <c r="D678" s="97"/>
      <c r="E678" s="97"/>
      <c r="F678" s="97"/>
      <c r="G678" s="97"/>
      <c r="H678" s="97"/>
      <c r="J678" s="97"/>
      <c r="L678" s="97"/>
      <c r="Q678" s="97"/>
    </row>
    <row r="679" ht="15.75" customHeight="1">
      <c r="D679" s="97"/>
      <c r="E679" s="97"/>
      <c r="F679" s="97"/>
      <c r="G679" s="97"/>
      <c r="H679" s="97"/>
      <c r="J679" s="97"/>
      <c r="L679" s="97"/>
      <c r="Q679" s="97"/>
    </row>
    <row r="680" ht="15.75" customHeight="1">
      <c r="D680" s="97"/>
      <c r="E680" s="97"/>
      <c r="F680" s="97"/>
      <c r="G680" s="97"/>
      <c r="H680" s="97"/>
      <c r="J680" s="97"/>
      <c r="L680" s="97"/>
      <c r="Q680" s="97"/>
    </row>
    <row r="681" ht="15.75" customHeight="1">
      <c r="D681" s="97"/>
      <c r="E681" s="97"/>
      <c r="F681" s="97"/>
      <c r="G681" s="97"/>
      <c r="H681" s="97"/>
      <c r="J681" s="97"/>
      <c r="L681" s="97"/>
      <c r="Q681" s="97"/>
    </row>
    <row r="682" ht="15.75" customHeight="1">
      <c r="D682" s="97"/>
      <c r="E682" s="97"/>
      <c r="F682" s="97"/>
      <c r="G682" s="97"/>
      <c r="H682" s="97"/>
      <c r="J682" s="97"/>
      <c r="L682" s="97"/>
      <c r="Q682" s="97"/>
    </row>
    <row r="683" ht="15.75" customHeight="1">
      <c r="D683" s="97"/>
      <c r="E683" s="97"/>
      <c r="F683" s="97"/>
      <c r="G683" s="97"/>
      <c r="H683" s="97"/>
      <c r="J683" s="97"/>
      <c r="L683" s="97"/>
      <c r="Q683" s="97"/>
    </row>
    <row r="684" ht="15.75" customHeight="1">
      <c r="D684" s="97"/>
      <c r="E684" s="97"/>
      <c r="F684" s="97"/>
      <c r="G684" s="97"/>
      <c r="H684" s="97"/>
      <c r="J684" s="97"/>
      <c r="L684" s="97"/>
      <c r="Q684" s="97"/>
    </row>
    <row r="685" ht="15.75" customHeight="1">
      <c r="D685" s="97"/>
      <c r="E685" s="97"/>
      <c r="F685" s="97"/>
      <c r="G685" s="97"/>
      <c r="H685" s="97"/>
      <c r="J685" s="97"/>
      <c r="L685" s="97"/>
      <c r="Q685" s="97"/>
    </row>
    <row r="686" ht="15.75" customHeight="1">
      <c r="D686" s="97"/>
      <c r="E686" s="97"/>
      <c r="F686" s="97"/>
      <c r="G686" s="97"/>
      <c r="H686" s="97"/>
      <c r="J686" s="97"/>
      <c r="L686" s="97"/>
      <c r="Q686" s="97"/>
    </row>
    <row r="687" ht="15.75" customHeight="1">
      <c r="D687" s="97"/>
      <c r="E687" s="97"/>
      <c r="F687" s="97"/>
      <c r="G687" s="97"/>
      <c r="H687" s="97"/>
      <c r="J687" s="97"/>
      <c r="L687" s="97"/>
      <c r="Q687" s="97"/>
    </row>
    <row r="688" ht="15.75" customHeight="1">
      <c r="D688" s="97"/>
      <c r="E688" s="97"/>
      <c r="F688" s="97"/>
      <c r="G688" s="97"/>
      <c r="H688" s="97"/>
      <c r="J688" s="97"/>
      <c r="L688" s="97"/>
      <c r="Q688" s="97"/>
    </row>
    <row r="689" ht="15.75" customHeight="1">
      <c r="D689" s="97"/>
      <c r="E689" s="97"/>
      <c r="F689" s="97"/>
      <c r="G689" s="97"/>
      <c r="H689" s="97"/>
      <c r="J689" s="97"/>
      <c r="L689" s="97"/>
      <c r="Q689" s="97"/>
    </row>
    <row r="690" ht="15.75" customHeight="1">
      <c r="D690" s="97"/>
      <c r="E690" s="97"/>
      <c r="F690" s="97"/>
      <c r="G690" s="97"/>
      <c r="H690" s="97"/>
      <c r="J690" s="97"/>
      <c r="L690" s="97"/>
      <c r="Q690" s="97"/>
    </row>
    <row r="691" ht="15.75" customHeight="1">
      <c r="D691" s="97"/>
      <c r="E691" s="97"/>
      <c r="F691" s="97"/>
      <c r="G691" s="97"/>
      <c r="H691" s="97"/>
      <c r="J691" s="97"/>
      <c r="L691" s="97"/>
      <c r="Q691" s="97"/>
    </row>
    <row r="692" ht="15.75" customHeight="1">
      <c r="D692" s="97"/>
      <c r="E692" s="97"/>
      <c r="F692" s="97"/>
      <c r="G692" s="97"/>
      <c r="H692" s="97"/>
      <c r="J692" s="97"/>
      <c r="L692" s="97"/>
      <c r="Q692" s="97"/>
    </row>
    <row r="693" ht="15.75" customHeight="1">
      <c r="D693" s="97"/>
      <c r="E693" s="97"/>
      <c r="F693" s="97"/>
      <c r="G693" s="97"/>
      <c r="H693" s="97"/>
      <c r="J693" s="97"/>
      <c r="L693" s="97"/>
      <c r="Q693" s="97"/>
    </row>
    <row r="694" ht="15.75" customHeight="1">
      <c r="D694" s="97"/>
      <c r="E694" s="97"/>
      <c r="F694" s="97"/>
      <c r="G694" s="97"/>
      <c r="H694" s="97"/>
      <c r="J694" s="97"/>
      <c r="L694" s="97"/>
      <c r="Q694" s="97"/>
    </row>
    <row r="695" ht="15.75" customHeight="1">
      <c r="D695" s="97"/>
      <c r="E695" s="97"/>
      <c r="F695" s="97"/>
      <c r="G695" s="97"/>
      <c r="H695" s="97"/>
      <c r="J695" s="97"/>
      <c r="L695" s="97"/>
      <c r="Q695" s="97"/>
    </row>
    <row r="696" ht="15.75" customHeight="1">
      <c r="D696" s="97"/>
      <c r="E696" s="97"/>
      <c r="F696" s="97"/>
      <c r="G696" s="97"/>
      <c r="H696" s="97"/>
      <c r="J696" s="97"/>
      <c r="L696" s="97"/>
      <c r="Q696" s="97"/>
    </row>
    <row r="697" ht="15.75" customHeight="1">
      <c r="D697" s="97"/>
      <c r="E697" s="97"/>
      <c r="F697" s="97"/>
      <c r="G697" s="97"/>
      <c r="H697" s="97"/>
      <c r="J697" s="97"/>
      <c r="L697" s="97"/>
      <c r="Q697" s="97"/>
    </row>
    <row r="698" ht="15.75" customHeight="1">
      <c r="D698" s="97"/>
      <c r="E698" s="97"/>
      <c r="F698" s="97"/>
      <c r="G698" s="97"/>
      <c r="H698" s="97"/>
      <c r="J698" s="97"/>
      <c r="L698" s="97"/>
      <c r="Q698" s="97"/>
    </row>
    <row r="699" ht="15.75" customHeight="1">
      <c r="D699" s="97"/>
      <c r="E699" s="97"/>
      <c r="F699" s="97"/>
      <c r="G699" s="97"/>
      <c r="H699" s="97"/>
      <c r="J699" s="97"/>
      <c r="L699" s="97"/>
      <c r="Q699" s="97"/>
    </row>
    <row r="700" ht="15.75" customHeight="1">
      <c r="D700" s="97"/>
      <c r="E700" s="97"/>
      <c r="F700" s="97"/>
      <c r="G700" s="97"/>
      <c r="H700" s="97"/>
      <c r="J700" s="97"/>
      <c r="L700" s="97"/>
      <c r="Q700" s="97"/>
    </row>
    <row r="701" ht="15.75" customHeight="1">
      <c r="D701" s="97"/>
      <c r="E701" s="97"/>
      <c r="F701" s="97"/>
      <c r="G701" s="97"/>
      <c r="H701" s="97"/>
      <c r="J701" s="97"/>
      <c r="L701" s="97"/>
      <c r="Q701" s="97"/>
    </row>
    <row r="702" ht="15.75" customHeight="1">
      <c r="D702" s="97"/>
      <c r="E702" s="97"/>
      <c r="F702" s="97"/>
      <c r="G702" s="97"/>
      <c r="H702" s="97"/>
      <c r="J702" s="97"/>
      <c r="L702" s="97"/>
      <c r="Q702" s="97"/>
    </row>
    <row r="703" ht="15.75" customHeight="1">
      <c r="D703" s="97"/>
      <c r="E703" s="97"/>
      <c r="F703" s="97"/>
      <c r="G703" s="97"/>
      <c r="H703" s="97"/>
      <c r="J703" s="97"/>
      <c r="L703" s="97"/>
      <c r="Q703" s="97"/>
    </row>
    <row r="704" ht="15.75" customHeight="1">
      <c r="D704" s="97"/>
      <c r="E704" s="97"/>
      <c r="F704" s="97"/>
      <c r="G704" s="97"/>
      <c r="H704" s="97"/>
      <c r="J704" s="97"/>
      <c r="L704" s="97"/>
      <c r="Q704" s="97"/>
    </row>
    <row r="705" ht="15.75" customHeight="1">
      <c r="D705" s="97"/>
      <c r="E705" s="97"/>
      <c r="F705" s="97"/>
      <c r="G705" s="97"/>
      <c r="H705" s="97"/>
      <c r="J705" s="97"/>
      <c r="L705" s="97"/>
      <c r="Q705" s="97"/>
    </row>
    <row r="706" ht="15.75" customHeight="1">
      <c r="D706" s="97"/>
      <c r="E706" s="97"/>
      <c r="F706" s="97"/>
      <c r="G706" s="97"/>
      <c r="H706" s="97"/>
      <c r="J706" s="97"/>
      <c r="L706" s="97"/>
      <c r="Q706" s="97"/>
    </row>
    <row r="707" ht="15.75" customHeight="1">
      <c r="D707" s="97"/>
      <c r="E707" s="97"/>
      <c r="F707" s="97"/>
      <c r="G707" s="97"/>
      <c r="H707" s="97"/>
      <c r="J707" s="97"/>
      <c r="L707" s="97"/>
      <c r="Q707" s="97"/>
    </row>
    <row r="708" ht="15.75" customHeight="1">
      <c r="D708" s="97"/>
      <c r="E708" s="97"/>
      <c r="F708" s="97"/>
      <c r="G708" s="97"/>
      <c r="H708" s="97"/>
      <c r="J708" s="97"/>
      <c r="L708" s="97"/>
      <c r="Q708" s="97"/>
    </row>
    <row r="709" ht="15.75" customHeight="1">
      <c r="D709" s="97"/>
      <c r="E709" s="97"/>
      <c r="F709" s="97"/>
      <c r="G709" s="97"/>
      <c r="H709" s="97"/>
      <c r="J709" s="97"/>
      <c r="L709" s="97"/>
      <c r="Q709" s="97"/>
    </row>
    <row r="710" ht="15.75" customHeight="1">
      <c r="D710" s="97"/>
      <c r="E710" s="97"/>
      <c r="F710" s="97"/>
      <c r="G710" s="97"/>
      <c r="H710" s="97"/>
      <c r="J710" s="97"/>
      <c r="L710" s="97"/>
      <c r="Q710" s="97"/>
    </row>
    <row r="711" ht="15.75" customHeight="1">
      <c r="D711" s="97"/>
      <c r="E711" s="97"/>
      <c r="F711" s="97"/>
      <c r="G711" s="97"/>
      <c r="H711" s="97"/>
      <c r="J711" s="97"/>
      <c r="L711" s="97"/>
      <c r="Q711" s="97"/>
    </row>
    <row r="712" ht="15.75" customHeight="1">
      <c r="D712" s="97"/>
      <c r="E712" s="97"/>
      <c r="F712" s="97"/>
      <c r="G712" s="97"/>
      <c r="H712" s="97"/>
      <c r="J712" s="97"/>
      <c r="L712" s="97"/>
      <c r="Q712" s="97"/>
    </row>
    <row r="713" ht="15.75" customHeight="1">
      <c r="D713" s="97"/>
      <c r="E713" s="97"/>
      <c r="F713" s="97"/>
      <c r="G713" s="97"/>
      <c r="H713" s="97"/>
      <c r="J713" s="97"/>
      <c r="L713" s="97"/>
      <c r="Q713" s="97"/>
    </row>
    <row r="714" ht="15.75" customHeight="1">
      <c r="D714" s="97"/>
      <c r="E714" s="97"/>
      <c r="F714" s="97"/>
      <c r="G714" s="97"/>
      <c r="H714" s="97"/>
      <c r="J714" s="97"/>
      <c r="L714" s="97"/>
      <c r="Q714" s="97"/>
    </row>
    <row r="715" ht="15.75" customHeight="1">
      <c r="D715" s="97"/>
      <c r="E715" s="97"/>
      <c r="F715" s="97"/>
      <c r="G715" s="97"/>
      <c r="H715" s="97"/>
      <c r="J715" s="97"/>
      <c r="L715" s="97"/>
      <c r="Q715" s="97"/>
    </row>
    <row r="716" ht="15.75" customHeight="1">
      <c r="D716" s="97"/>
      <c r="E716" s="97"/>
      <c r="F716" s="97"/>
      <c r="G716" s="97"/>
      <c r="H716" s="97"/>
      <c r="J716" s="97"/>
      <c r="L716" s="97"/>
      <c r="Q716" s="97"/>
    </row>
    <row r="717" ht="15.75" customHeight="1">
      <c r="D717" s="97"/>
      <c r="E717" s="97"/>
      <c r="F717" s="97"/>
      <c r="G717" s="97"/>
      <c r="H717" s="97"/>
      <c r="J717" s="97"/>
      <c r="L717" s="97"/>
      <c r="Q717" s="97"/>
    </row>
    <row r="718" ht="15.75" customHeight="1">
      <c r="D718" s="97"/>
      <c r="E718" s="97"/>
      <c r="F718" s="97"/>
      <c r="G718" s="97"/>
      <c r="H718" s="97"/>
      <c r="J718" s="97"/>
      <c r="L718" s="97"/>
      <c r="Q718" s="97"/>
    </row>
    <row r="719" ht="15.75" customHeight="1">
      <c r="D719" s="97"/>
      <c r="E719" s="97"/>
      <c r="F719" s="97"/>
      <c r="G719" s="97"/>
      <c r="H719" s="97"/>
      <c r="J719" s="97"/>
      <c r="L719" s="97"/>
      <c r="Q719" s="97"/>
    </row>
    <row r="720" ht="15.75" customHeight="1">
      <c r="D720" s="97"/>
      <c r="E720" s="97"/>
      <c r="F720" s="97"/>
      <c r="G720" s="97"/>
      <c r="H720" s="97"/>
      <c r="J720" s="97"/>
      <c r="L720" s="97"/>
      <c r="Q720" s="97"/>
    </row>
    <row r="721" ht="15.75" customHeight="1">
      <c r="D721" s="97"/>
      <c r="E721" s="97"/>
      <c r="F721" s="97"/>
      <c r="G721" s="97"/>
      <c r="H721" s="97"/>
      <c r="J721" s="97"/>
      <c r="L721" s="97"/>
      <c r="Q721" s="97"/>
    </row>
    <row r="722" ht="15.75" customHeight="1">
      <c r="D722" s="97"/>
      <c r="E722" s="97"/>
      <c r="F722" s="97"/>
      <c r="G722" s="97"/>
      <c r="H722" s="97"/>
      <c r="J722" s="97"/>
      <c r="L722" s="97"/>
      <c r="Q722" s="97"/>
    </row>
    <row r="723" ht="15.75" customHeight="1">
      <c r="D723" s="97"/>
      <c r="E723" s="97"/>
      <c r="F723" s="97"/>
      <c r="G723" s="97"/>
      <c r="H723" s="97"/>
      <c r="J723" s="97"/>
      <c r="L723" s="97"/>
      <c r="Q723" s="97"/>
    </row>
    <row r="724" ht="15.75" customHeight="1">
      <c r="D724" s="97"/>
      <c r="E724" s="97"/>
      <c r="F724" s="97"/>
      <c r="G724" s="97"/>
      <c r="H724" s="97"/>
      <c r="J724" s="97"/>
      <c r="L724" s="97"/>
      <c r="Q724" s="97"/>
    </row>
    <row r="725" ht="15.75" customHeight="1">
      <c r="D725" s="97"/>
      <c r="E725" s="97"/>
      <c r="F725" s="97"/>
      <c r="G725" s="97"/>
      <c r="H725" s="97"/>
      <c r="J725" s="97"/>
      <c r="L725" s="97"/>
      <c r="Q725" s="97"/>
    </row>
    <row r="726" ht="15.75" customHeight="1">
      <c r="D726" s="97"/>
      <c r="E726" s="97"/>
      <c r="F726" s="97"/>
      <c r="G726" s="97"/>
      <c r="H726" s="97"/>
      <c r="J726" s="97"/>
      <c r="L726" s="97"/>
      <c r="Q726" s="97"/>
    </row>
    <row r="727" ht="15.75" customHeight="1">
      <c r="D727" s="97"/>
      <c r="E727" s="97"/>
      <c r="F727" s="97"/>
      <c r="G727" s="97"/>
      <c r="H727" s="97"/>
      <c r="J727" s="97"/>
      <c r="L727" s="97"/>
      <c r="Q727" s="97"/>
    </row>
    <row r="728" ht="15.75" customHeight="1">
      <c r="D728" s="97"/>
      <c r="E728" s="97"/>
      <c r="F728" s="97"/>
      <c r="G728" s="97"/>
      <c r="H728" s="97"/>
      <c r="J728" s="97"/>
      <c r="L728" s="97"/>
      <c r="Q728" s="97"/>
    </row>
    <row r="729" ht="15.75" customHeight="1">
      <c r="D729" s="97"/>
      <c r="E729" s="97"/>
      <c r="F729" s="97"/>
      <c r="G729" s="97"/>
      <c r="H729" s="97"/>
      <c r="J729" s="97"/>
      <c r="L729" s="97"/>
      <c r="Q729" s="97"/>
    </row>
    <row r="730" ht="15.75" customHeight="1">
      <c r="D730" s="97"/>
      <c r="E730" s="97"/>
      <c r="F730" s="97"/>
      <c r="G730" s="97"/>
      <c r="H730" s="97"/>
      <c r="J730" s="97"/>
      <c r="L730" s="97"/>
      <c r="Q730" s="97"/>
    </row>
    <row r="731" ht="15.75" customHeight="1">
      <c r="D731" s="97"/>
      <c r="E731" s="97"/>
      <c r="F731" s="97"/>
      <c r="G731" s="97"/>
      <c r="H731" s="97"/>
      <c r="J731" s="97"/>
      <c r="L731" s="97"/>
      <c r="Q731" s="97"/>
    </row>
    <row r="732" ht="15.75" customHeight="1">
      <c r="D732" s="97"/>
      <c r="E732" s="97"/>
      <c r="F732" s="97"/>
      <c r="G732" s="97"/>
      <c r="H732" s="97"/>
      <c r="J732" s="97"/>
      <c r="L732" s="97"/>
      <c r="Q732" s="97"/>
    </row>
    <row r="733" ht="15.75" customHeight="1">
      <c r="D733" s="97"/>
      <c r="E733" s="97"/>
      <c r="F733" s="97"/>
      <c r="G733" s="97"/>
      <c r="H733" s="97"/>
      <c r="J733" s="97"/>
      <c r="L733" s="97"/>
      <c r="Q733" s="97"/>
    </row>
    <row r="734" ht="15.75" customHeight="1">
      <c r="D734" s="97"/>
      <c r="E734" s="97"/>
      <c r="F734" s="97"/>
      <c r="G734" s="97"/>
      <c r="H734" s="97"/>
      <c r="J734" s="97"/>
      <c r="L734" s="97"/>
      <c r="Q734" s="97"/>
    </row>
    <row r="735" ht="15.75" customHeight="1">
      <c r="D735" s="97"/>
      <c r="E735" s="97"/>
      <c r="F735" s="97"/>
      <c r="G735" s="97"/>
      <c r="H735" s="97"/>
      <c r="J735" s="97"/>
      <c r="L735" s="97"/>
      <c r="Q735" s="97"/>
    </row>
    <row r="736" ht="15.75" customHeight="1">
      <c r="D736" s="97"/>
      <c r="E736" s="97"/>
      <c r="F736" s="97"/>
      <c r="G736" s="97"/>
      <c r="H736" s="97"/>
      <c r="J736" s="97"/>
      <c r="L736" s="97"/>
      <c r="Q736" s="97"/>
    </row>
    <row r="737" ht="15.75" customHeight="1">
      <c r="D737" s="97"/>
      <c r="E737" s="97"/>
      <c r="F737" s="97"/>
      <c r="G737" s="97"/>
      <c r="H737" s="97"/>
      <c r="J737" s="97"/>
      <c r="L737" s="97"/>
      <c r="Q737" s="97"/>
    </row>
    <row r="738" ht="15.75" customHeight="1">
      <c r="D738" s="97"/>
      <c r="E738" s="97"/>
      <c r="F738" s="97"/>
      <c r="G738" s="97"/>
      <c r="H738" s="97"/>
      <c r="J738" s="97"/>
      <c r="L738" s="97"/>
      <c r="Q738" s="97"/>
    </row>
    <row r="739" ht="15.75" customHeight="1">
      <c r="D739" s="97"/>
      <c r="E739" s="97"/>
      <c r="F739" s="97"/>
      <c r="G739" s="97"/>
      <c r="H739" s="97"/>
      <c r="J739" s="97"/>
      <c r="L739" s="97"/>
      <c r="Q739" s="97"/>
    </row>
    <row r="740" ht="15.75" customHeight="1">
      <c r="D740" s="97"/>
      <c r="E740" s="97"/>
      <c r="F740" s="97"/>
      <c r="G740" s="97"/>
      <c r="H740" s="97"/>
      <c r="J740" s="97"/>
      <c r="L740" s="97"/>
      <c r="Q740" s="97"/>
    </row>
    <row r="741" ht="15.75" customHeight="1">
      <c r="D741" s="97"/>
      <c r="E741" s="97"/>
      <c r="F741" s="97"/>
      <c r="G741" s="97"/>
      <c r="H741" s="97"/>
      <c r="J741" s="97"/>
      <c r="L741" s="97"/>
      <c r="Q741" s="97"/>
    </row>
    <row r="742" ht="15.75" customHeight="1">
      <c r="D742" s="97"/>
      <c r="E742" s="97"/>
      <c r="F742" s="97"/>
      <c r="G742" s="97"/>
      <c r="H742" s="97"/>
      <c r="J742" s="97"/>
      <c r="L742" s="97"/>
      <c r="Q742" s="97"/>
    </row>
    <row r="743" ht="15.75" customHeight="1">
      <c r="D743" s="97"/>
      <c r="E743" s="97"/>
      <c r="F743" s="97"/>
      <c r="G743" s="97"/>
      <c r="H743" s="97"/>
      <c r="J743" s="97"/>
      <c r="L743" s="97"/>
      <c r="Q743" s="97"/>
    </row>
    <row r="744" ht="15.75" customHeight="1">
      <c r="D744" s="97"/>
      <c r="E744" s="97"/>
      <c r="F744" s="97"/>
      <c r="G744" s="97"/>
      <c r="H744" s="97"/>
      <c r="J744" s="97"/>
      <c r="L744" s="97"/>
      <c r="Q744" s="97"/>
    </row>
    <row r="745" ht="15.75" customHeight="1">
      <c r="D745" s="97"/>
      <c r="E745" s="97"/>
      <c r="F745" s="97"/>
      <c r="G745" s="97"/>
      <c r="H745" s="97"/>
      <c r="J745" s="97"/>
      <c r="L745" s="97"/>
      <c r="Q745" s="97"/>
    </row>
    <row r="746" ht="15.75" customHeight="1">
      <c r="D746" s="97"/>
      <c r="E746" s="97"/>
      <c r="F746" s="97"/>
      <c r="G746" s="97"/>
      <c r="H746" s="97"/>
      <c r="J746" s="97"/>
      <c r="L746" s="97"/>
      <c r="Q746" s="97"/>
    </row>
    <row r="747" ht="15.75" customHeight="1">
      <c r="D747" s="97"/>
      <c r="E747" s="97"/>
      <c r="F747" s="97"/>
      <c r="G747" s="97"/>
      <c r="H747" s="97"/>
      <c r="J747" s="97"/>
      <c r="L747" s="97"/>
      <c r="Q747" s="97"/>
    </row>
    <row r="748" ht="15.75" customHeight="1">
      <c r="D748" s="97"/>
      <c r="E748" s="97"/>
      <c r="F748" s="97"/>
      <c r="G748" s="97"/>
      <c r="H748" s="97"/>
      <c r="J748" s="97"/>
      <c r="L748" s="97"/>
      <c r="Q748" s="97"/>
    </row>
    <row r="749" ht="15.75" customHeight="1">
      <c r="D749" s="97"/>
      <c r="E749" s="97"/>
      <c r="F749" s="97"/>
      <c r="G749" s="97"/>
      <c r="H749" s="97"/>
      <c r="J749" s="97"/>
      <c r="L749" s="97"/>
      <c r="Q749" s="97"/>
    </row>
    <row r="750" ht="15.75" customHeight="1">
      <c r="D750" s="97"/>
      <c r="E750" s="97"/>
      <c r="F750" s="97"/>
      <c r="G750" s="97"/>
      <c r="H750" s="97"/>
      <c r="J750" s="97"/>
      <c r="L750" s="97"/>
      <c r="Q750" s="97"/>
    </row>
    <row r="751" ht="15.75" customHeight="1">
      <c r="D751" s="97"/>
      <c r="E751" s="97"/>
      <c r="F751" s="97"/>
      <c r="G751" s="97"/>
      <c r="H751" s="97"/>
      <c r="J751" s="97"/>
      <c r="L751" s="97"/>
      <c r="Q751" s="97"/>
    </row>
    <row r="752" ht="15.75" customHeight="1">
      <c r="D752" s="97"/>
      <c r="E752" s="97"/>
      <c r="F752" s="97"/>
      <c r="G752" s="97"/>
      <c r="H752" s="97"/>
      <c r="J752" s="97"/>
      <c r="L752" s="97"/>
      <c r="Q752" s="97"/>
    </row>
    <row r="753" ht="15.75" customHeight="1">
      <c r="D753" s="97"/>
      <c r="E753" s="97"/>
      <c r="F753" s="97"/>
      <c r="G753" s="97"/>
      <c r="H753" s="97"/>
      <c r="J753" s="97"/>
      <c r="L753" s="97"/>
      <c r="Q753" s="97"/>
    </row>
    <row r="754" ht="15.75" customHeight="1">
      <c r="D754" s="97"/>
      <c r="E754" s="97"/>
      <c r="F754" s="97"/>
      <c r="G754" s="97"/>
      <c r="H754" s="97"/>
      <c r="J754" s="97"/>
      <c r="L754" s="97"/>
      <c r="Q754" s="97"/>
    </row>
    <row r="755" ht="15.75" customHeight="1">
      <c r="D755" s="97"/>
      <c r="E755" s="97"/>
      <c r="F755" s="97"/>
      <c r="G755" s="97"/>
      <c r="H755" s="97"/>
      <c r="J755" s="97"/>
      <c r="L755" s="97"/>
      <c r="Q755" s="97"/>
    </row>
    <row r="756" ht="15.75" customHeight="1">
      <c r="D756" s="97"/>
      <c r="E756" s="97"/>
      <c r="F756" s="97"/>
      <c r="G756" s="97"/>
      <c r="H756" s="97"/>
      <c r="J756" s="97"/>
      <c r="L756" s="97"/>
      <c r="Q756" s="97"/>
    </row>
    <row r="757" ht="15.75" customHeight="1">
      <c r="D757" s="97"/>
      <c r="E757" s="97"/>
      <c r="F757" s="97"/>
      <c r="G757" s="97"/>
      <c r="H757" s="97"/>
      <c r="J757" s="97"/>
      <c r="L757" s="97"/>
      <c r="Q757" s="97"/>
    </row>
    <row r="758" ht="15.75" customHeight="1">
      <c r="D758" s="97"/>
      <c r="E758" s="97"/>
      <c r="F758" s="97"/>
      <c r="G758" s="97"/>
      <c r="H758" s="97"/>
      <c r="J758" s="97"/>
      <c r="L758" s="97"/>
      <c r="Q758" s="97"/>
    </row>
    <row r="759" ht="15.75" customHeight="1">
      <c r="D759" s="97"/>
      <c r="E759" s="97"/>
      <c r="F759" s="97"/>
      <c r="G759" s="97"/>
      <c r="H759" s="97"/>
      <c r="J759" s="97"/>
      <c r="L759" s="97"/>
      <c r="Q759" s="97"/>
    </row>
    <row r="760" ht="15.75" customHeight="1">
      <c r="D760" s="97"/>
      <c r="E760" s="97"/>
      <c r="F760" s="97"/>
      <c r="G760" s="97"/>
      <c r="H760" s="97"/>
      <c r="J760" s="97"/>
      <c r="L760" s="97"/>
      <c r="Q760" s="97"/>
    </row>
    <row r="761" ht="15.75" customHeight="1">
      <c r="D761" s="97"/>
      <c r="E761" s="97"/>
      <c r="F761" s="97"/>
      <c r="G761" s="97"/>
      <c r="H761" s="97"/>
      <c r="J761" s="97"/>
      <c r="L761" s="97"/>
      <c r="Q761" s="97"/>
    </row>
    <row r="762" ht="15.75" customHeight="1">
      <c r="D762" s="97"/>
      <c r="E762" s="97"/>
      <c r="F762" s="97"/>
      <c r="G762" s="97"/>
      <c r="H762" s="97"/>
      <c r="J762" s="97"/>
      <c r="L762" s="97"/>
      <c r="Q762" s="97"/>
    </row>
    <row r="763" ht="15.75" customHeight="1">
      <c r="D763" s="97"/>
      <c r="E763" s="97"/>
      <c r="F763" s="97"/>
      <c r="G763" s="97"/>
      <c r="H763" s="97"/>
      <c r="J763" s="97"/>
      <c r="L763" s="97"/>
      <c r="Q763" s="97"/>
    </row>
    <row r="764" ht="15.75" customHeight="1">
      <c r="D764" s="97"/>
      <c r="E764" s="97"/>
      <c r="F764" s="97"/>
      <c r="G764" s="97"/>
      <c r="H764" s="97"/>
      <c r="J764" s="97"/>
      <c r="L764" s="97"/>
      <c r="Q764" s="97"/>
    </row>
    <row r="765" ht="15.75" customHeight="1">
      <c r="D765" s="97"/>
      <c r="E765" s="97"/>
      <c r="F765" s="97"/>
      <c r="G765" s="97"/>
      <c r="H765" s="97"/>
      <c r="J765" s="97"/>
      <c r="L765" s="97"/>
      <c r="Q765" s="97"/>
    </row>
    <row r="766" ht="15.75" customHeight="1">
      <c r="D766" s="97"/>
      <c r="E766" s="97"/>
      <c r="F766" s="97"/>
      <c r="G766" s="97"/>
      <c r="H766" s="97"/>
      <c r="J766" s="97"/>
      <c r="L766" s="97"/>
      <c r="Q766" s="97"/>
    </row>
    <row r="767" ht="15.75" customHeight="1">
      <c r="D767" s="97"/>
      <c r="E767" s="97"/>
      <c r="F767" s="97"/>
      <c r="G767" s="97"/>
      <c r="H767" s="97"/>
      <c r="J767" s="97"/>
      <c r="L767" s="97"/>
      <c r="Q767" s="97"/>
    </row>
    <row r="768" ht="15.75" customHeight="1">
      <c r="D768" s="97"/>
      <c r="E768" s="97"/>
      <c r="F768" s="97"/>
      <c r="G768" s="97"/>
      <c r="H768" s="97"/>
      <c r="J768" s="97"/>
      <c r="L768" s="97"/>
      <c r="Q768" s="97"/>
    </row>
    <row r="769" ht="15.75" customHeight="1">
      <c r="D769" s="97"/>
      <c r="E769" s="97"/>
      <c r="F769" s="97"/>
      <c r="G769" s="97"/>
      <c r="H769" s="97"/>
      <c r="J769" s="97"/>
      <c r="L769" s="97"/>
      <c r="Q769" s="97"/>
    </row>
    <row r="770" ht="15.75" customHeight="1">
      <c r="D770" s="97"/>
      <c r="E770" s="97"/>
      <c r="F770" s="97"/>
      <c r="G770" s="97"/>
      <c r="H770" s="97"/>
      <c r="J770" s="97"/>
      <c r="L770" s="97"/>
      <c r="Q770" s="97"/>
    </row>
    <row r="771" ht="15.75" customHeight="1">
      <c r="D771" s="97"/>
      <c r="E771" s="97"/>
      <c r="F771" s="97"/>
      <c r="G771" s="97"/>
      <c r="H771" s="97"/>
      <c r="J771" s="97"/>
      <c r="L771" s="97"/>
      <c r="Q771" s="97"/>
    </row>
    <row r="772" ht="15.75" customHeight="1">
      <c r="D772" s="97"/>
      <c r="E772" s="97"/>
      <c r="F772" s="97"/>
      <c r="G772" s="97"/>
      <c r="H772" s="97"/>
      <c r="J772" s="97"/>
      <c r="L772" s="97"/>
      <c r="Q772" s="97"/>
    </row>
    <row r="773" ht="15.75" customHeight="1">
      <c r="D773" s="97"/>
      <c r="E773" s="97"/>
      <c r="F773" s="97"/>
      <c r="G773" s="97"/>
      <c r="H773" s="97"/>
      <c r="J773" s="97"/>
      <c r="L773" s="97"/>
      <c r="Q773" s="97"/>
    </row>
    <row r="774" ht="15.75" customHeight="1">
      <c r="D774" s="97"/>
      <c r="E774" s="97"/>
      <c r="F774" s="97"/>
      <c r="G774" s="97"/>
      <c r="H774" s="97"/>
      <c r="J774" s="97"/>
      <c r="L774" s="97"/>
      <c r="Q774" s="97"/>
    </row>
    <row r="775" ht="15.75" customHeight="1">
      <c r="D775" s="97"/>
      <c r="E775" s="97"/>
      <c r="F775" s="97"/>
      <c r="G775" s="97"/>
      <c r="H775" s="97"/>
      <c r="J775" s="97"/>
      <c r="L775" s="97"/>
      <c r="Q775" s="97"/>
    </row>
    <row r="776" ht="15.75" customHeight="1">
      <c r="D776" s="97"/>
      <c r="E776" s="97"/>
      <c r="F776" s="97"/>
      <c r="G776" s="97"/>
      <c r="H776" s="97"/>
      <c r="J776" s="97"/>
      <c r="L776" s="97"/>
      <c r="Q776" s="97"/>
    </row>
    <row r="777" ht="15.75" customHeight="1">
      <c r="D777" s="97"/>
      <c r="E777" s="97"/>
      <c r="F777" s="97"/>
      <c r="G777" s="97"/>
      <c r="H777" s="97"/>
      <c r="J777" s="97"/>
      <c r="L777" s="97"/>
      <c r="Q777" s="97"/>
    </row>
    <row r="778" ht="15.75" customHeight="1">
      <c r="D778" s="97"/>
      <c r="E778" s="97"/>
      <c r="F778" s="97"/>
      <c r="G778" s="97"/>
      <c r="H778" s="97"/>
      <c r="J778" s="97"/>
      <c r="L778" s="97"/>
      <c r="Q778" s="97"/>
    </row>
    <row r="779" ht="15.75" customHeight="1">
      <c r="D779" s="97"/>
      <c r="E779" s="97"/>
      <c r="F779" s="97"/>
      <c r="G779" s="97"/>
      <c r="H779" s="97"/>
      <c r="J779" s="97"/>
      <c r="L779" s="97"/>
      <c r="Q779" s="97"/>
    </row>
    <row r="780" ht="15.75" customHeight="1">
      <c r="D780" s="97"/>
      <c r="E780" s="97"/>
      <c r="F780" s="97"/>
      <c r="G780" s="97"/>
      <c r="H780" s="97"/>
      <c r="J780" s="97"/>
      <c r="L780" s="97"/>
      <c r="Q780" s="97"/>
    </row>
    <row r="781" ht="15.75" customHeight="1">
      <c r="D781" s="97"/>
      <c r="E781" s="97"/>
      <c r="F781" s="97"/>
      <c r="G781" s="97"/>
      <c r="H781" s="97"/>
      <c r="J781" s="97"/>
      <c r="L781" s="97"/>
      <c r="Q781" s="97"/>
    </row>
    <row r="782" ht="15.75" customHeight="1">
      <c r="D782" s="97"/>
      <c r="E782" s="97"/>
      <c r="F782" s="97"/>
      <c r="G782" s="97"/>
      <c r="H782" s="97"/>
      <c r="J782" s="97"/>
      <c r="L782" s="97"/>
      <c r="Q782" s="97"/>
    </row>
    <row r="783" ht="15.75" customHeight="1">
      <c r="D783" s="97"/>
      <c r="E783" s="97"/>
      <c r="F783" s="97"/>
      <c r="G783" s="97"/>
      <c r="H783" s="97"/>
      <c r="J783" s="97"/>
      <c r="L783" s="97"/>
      <c r="Q783" s="97"/>
    </row>
    <row r="784" ht="15.75" customHeight="1">
      <c r="D784" s="97"/>
      <c r="E784" s="97"/>
      <c r="F784" s="97"/>
      <c r="G784" s="97"/>
      <c r="H784" s="97"/>
      <c r="J784" s="97"/>
      <c r="L784" s="97"/>
      <c r="Q784" s="97"/>
    </row>
    <row r="785" ht="15.75" customHeight="1">
      <c r="D785" s="97"/>
      <c r="E785" s="97"/>
      <c r="F785" s="97"/>
      <c r="G785" s="97"/>
      <c r="H785" s="97"/>
      <c r="J785" s="97"/>
      <c r="L785" s="97"/>
      <c r="Q785" s="97"/>
    </row>
    <row r="786" ht="15.75" customHeight="1">
      <c r="D786" s="97"/>
      <c r="E786" s="97"/>
      <c r="F786" s="97"/>
      <c r="G786" s="97"/>
      <c r="H786" s="97"/>
      <c r="J786" s="97"/>
      <c r="L786" s="97"/>
      <c r="Q786" s="97"/>
    </row>
    <row r="787" ht="15.75" customHeight="1">
      <c r="D787" s="97"/>
      <c r="E787" s="97"/>
      <c r="F787" s="97"/>
      <c r="G787" s="97"/>
      <c r="H787" s="97"/>
      <c r="J787" s="97"/>
      <c r="L787" s="97"/>
      <c r="Q787" s="97"/>
    </row>
    <row r="788" ht="15.75" customHeight="1">
      <c r="D788" s="97"/>
      <c r="E788" s="97"/>
      <c r="F788" s="97"/>
      <c r="G788" s="97"/>
      <c r="H788" s="97"/>
      <c r="J788" s="97"/>
      <c r="L788" s="97"/>
      <c r="Q788" s="97"/>
    </row>
    <row r="789" ht="15.75" customHeight="1">
      <c r="D789" s="97"/>
      <c r="E789" s="97"/>
      <c r="F789" s="97"/>
      <c r="G789" s="97"/>
      <c r="H789" s="97"/>
      <c r="J789" s="97"/>
      <c r="L789" s="97"/>
      <c r="Q789" s="97"/>
    </row>
    <row r="790" ht="15.75" customHeight="1">
      <c r="D790" s="97"/>
      <c r="E790" s="97"/>
      <c r="F790" s="97"/>
      <c r="G790" s="97"/>
      <c r="H790" s="97"/>
      <c r="J790" s="97"/>
      <c r="L790" s="97"/>
      <c r="Q790" s="97"/>
    </row>
    <row r="791" ht="15.75" customHeight="1">
      <c r="D791" s="97"/>
      <c r="E791" s="97"/>
      <c r="F791" s="97"/>
      <c r="G791" s="97"/>
      <c r="H791" s="97"/>
      <c r="J791" s="97"/>
      <c r="L791" s="97"/>
      <c r="Q791" s="97"/>
    </row>
    <row r="792" ht="15.75" customHeight="1">
      <c r="D792" s="97"/>
      <c r="E792" s="97"/>
      <c r="F792" s="97"/>
      <c r="G792" s="97"/>
      <c r="H792" s="97"/>
      <c r="J792" s="97"/>
      <c r="L792" s="97"/>
      <c r="Q792" s="97"/>
    </row>
    <row r="793" ht="15.75" customHeight="1">
      <c r="D793" s="97"/>
      <c r="E793" s="97"/>
      <c r="F793" s="97"/>
      <c r="G793" s="97"/>
      <c r="H793" s="97"/>
      <c r="J793" s="97"/>
      <c r="L793" s="97"/>
      <c r="Q793" s="97"/>
    </row>
    <row r="794" ht="15.75" customHeight="1">
      <c r="D794" s="97"/>
      <c r="E794" s="97"/>
      <c r="F794" s="97"/>
      <c r="G794" s="97"/>
      <c r="H794" s="97"/>
      <c r="J794" s="97"/>
      <c r="L794" s="97"/>
      <c r="Q794" s="97"/>
    </row>
    <row r="795" ht="15.75" customHeight="1">
      <c r="D795" s="97"/>
      <c r="E795" s="97"/>
      <c r="F795" s="97"/>
      <c r="G795" s="97"/>
      <c r="H795" s="97"/>
      <c r="J795" s="97"/>
      <c r="L795" s="97"/>
      <c r="Q795" s="97"/>
    </row>
    <row r="796" ht="15.75" customHeight="1">
      <c r="D796" s="97"/>
      <c r="E796" s="97"/>
      <c r="F796" s="97"/>
      <c r="G796" s="97"/>
      <c r="H796" s="97"/>
      <c r="J796" s="97"/>
      <c r="L796" s="97"/>
      <c r="Q796" s="97"/>
    </row>
    <row r="797" ht="15.75" customHeight="1">
      <c r="D797" s="97"/>
      <c r="E797" s="97"/>
      <c r="F797" s="97"/>
      <c r="G797" s="97"/>
      <c r="H797" s="97"/>
      <c r="J797" s="97"/>
      <c r="L797" s="97"/>
      <c r="Q797" s="97"/>
    </row>
    <row r="798" ht="15.75" customHeight="1">
      <c r="D798" s="97"/>
      <c r="E798" s="97"/>
      <c r="F798" s="97"/>
      <c r="G798" s="97"/>
      <c r="H798" s="97"/>
      <c r="J798" s="97"/>
      <c r="L798" s="97"/>
      <c r="Q798" s="97"/>
    </row>
    <row r="799" ht="15.75" customHeight="1">
      <c r="D799" s="97"/>
      <c r="E799" s="97"/>
      <c r="F799" s="97"/>
      <c r="G799" s="97"/>
      <c r="H799" s="97"/>
      <c r="J799" s="97"/>
      <c r="L799" s="97"/>
      <c r="Q799" s="97"/>
    </row>
    <row r="800" ht="15.75" customHeight="1">
      <c r="D800" s="97"/>
      <c r="E800" s="97"/>
      <c r="F800" s="97"/>
      <c r="G800" s="97"/>
      <c r="H800" s="97"/>
      <c r="J800" s="97"/>
      <c r="L800" s="97"/>
      <c r="Q800" s="97"/>
    </row>
    <row r="801" ht="15.75" customHeight="1">
      <c r="D801" s="97"/>
      <c r="E801" s="97"/>
      <c r="F801" s="97"/>
      <c r="G801" s="97"/>
      <c r="H801" s="97"/>
      <c r="J801" s="97"/>
      <c r="L801" s="97"/>
      <c r="Q801" s="97"/>
    </row>
    <row r="802" ht="15.75" customHeight="1">
      <c r="D802" s="97"/>
      <c r="E802" s="97"/>
      <c r="F802" s="97"/>
      <c r="G802" s="97"/>
      <c r="H802" s="97"/>
      <c r="J802" s="97"/>
      <c r="L802" s="97"/>
      <c r="Q802" s="97"/>
    </row>
    <row r="803" ht="15.75" customHeight="1">
      <c r="D803" s="97"/>
      <c r="E803" s="97"/>
      <c r="F803" s="97"/>
      <c r="G803" s="97"/>
      <c r="H803" s="97"/>
      <c r="J803" s="97"/>
      <c r="L803" s="97"/>
      <c r="Q803" s="97"/>
    </row>
    <row r="804" ht="15.75" customHeight="1">
      <c r="D804" s="97"/>
      <c r="E804" s="97"/>
      <c r="F804" s="97"/>
      <c r="G804" s="97"/>
      <c r="H804" s="97"/>
      <c r="J804" s="97"/>
      <c r="L804" s="97"/>
      <c r="Q804" s="97"/>
    </row>
    <row r="805" ht="15.75" customHeight="1">
      <c r="D805" s="97"/>
      <c r="E805" s="97"/>
      <c r="F805" s="97"/>
      <c r="G805" s="97"/>
      <c r="H805" s="97"/>
      <c r="J805" s="97"/>
      <c r="L805" s="97"/>
      <c r="Q805" s="97"/>
    </row>
    <row r="806" ht="15.75" customHeight="1">
      <c r="D806" s="97"/>
      <c r="E806" s="97"/>
      <c r="F806" s="97"/>
      <c r="G806" s="97"/>
      <c r="H806" s="97"/>
      <c r="J806" s="97"/>
      <c r="L806" s="97"/>
      <c r="Q806" s="97"/>
    </row>
    <row r="807" ht="15.75" customHeight="1">
      <c r="D807" s="97"/>
      <c r="E807" s="97"/>
      <c r="F807" s="97"/>
      <c r="G807" s="97"/>
      <c r="H807" s="97"/>
      <c r="J807" s="97"/>
      <c r="L807" s="97"/>
      <c r="Q807" s="97"/>
    </row>
    <row r="808" ht="15.75" customHeight="1">
      <c r="D808" s="97"/>
      <c r="E808" s="97"/>
      <c r="F808" s="97"/>
      <c r="G808" s="97"/>
      <c r="H808" s="97"/>
      <c r="J808" s="97"/>
      <c r="L808" s="97"/>
      <c r="Q808" s="97"/>
    </row>
    <row r="809" ht="15.75" customHeight="1">
      <c r="D809" s="97"/>
      <c r="E809" s="97"/>
      <c r="F809" s="97"/>
      <c r="G809" s="97"/>
      <c r="H809" s="97"/>
      <c r="J809" s="97"/>
      <c r="L809" s="97"/>
      <c r="Q809" s="97"/>
    </row>
    <row r="810" ht="15.75" customHeight="1">
      <c r="D810" s="97"/>
      <c r="E810" s="97"/>
      <c r="F810" s="97"/>
      <c r="G810" s="97"/>
      <c r="H810" s="97"/>
      <c r="J810" s="97"/>
      <c r="L810" s="97"/>
      <c r="Q810" s="97"/>
    </row>
    <row r="811" ht="15.75" customHeight="1">
      <c r="D811" s="97"/>
      <c r="E811" s="97"/>
      <c r="F811" s="97"/>
      <c r="G811" s="97"/>
      <c r="H811" s="97"/>
      <c r="J811" s="97"/>
      <c r="L811" s="97"/>
      <c r="Q811" s="97"/>
    </row>
    <row r="812" ht="15.75" customHeight="1">
      <c r="D812" s="97"/>
      <c r="E812" s="97"/>
      <c r="F812" s="97"/>
      <c r="G812" s="97"/>
      <c r="H812" s="97"/>
      <c r="J812" s="97"/>
      <c r="L812" s="97"/>
      <c r="Q812" s="97"/>
    </row>
    <row r="813" ht="15.75" customHeight="1">
      <c r="D813" s="97"/>
      <c r="E813" s="97"/>
      <c r="F813" s="97"/>
      <c r="G813" s="97"/>
      <c r="H813" s="97"/>
      <c r="J813" s="97"/>
      <c r="L813" s="97"/>
      <c r="Q813" s="97"/>
    </row>
    <row r="814" ht="15.75" customHeight="1">
      <c r="D814" s="97"/>
      <c r="E814" s="97"/>
      <c r="F814" s="97"/>
      <c r="G814" s="97"/>
      <c r="H814" s="97"/>
      <c r="J814" s="97"/>
      <c r="L814" s="97"/>
      <c r="Q814" s="97"/>
    </row>
    <row r="815" ht="15.75" customHeight="1">
      <c r="D815" s="97"/>
      <c r="E815" s="97"/>
      <c r="F815" s="97"/>
      <c r="G815" s="97"/>
      <c r="H815" s="97"/>
      <c r="J815" s="97"/>
      <c r="L815" s="97"/>
      <c r="Q815" s="97"/>
    </row>
    <row r="816" ht="15.75" customHeight="1">
      <c r="D816" s="97"/>
      <c r="E816" s="97"/>
      <c r="F816" s="97"/>
      <c r="G816" s="97"/>
      <c r="H816" s="97"/>
      <c r="J816" s="97"/>
      <c r="L816" s="97"/>
      <c r="Q816" s="97"/>
    </row>
    <row r="817" ht="15.75" customHeight="1">
      <c r="D817" s="97"/>
      <c r="E817" s="97"/>
      <c r="F817" s="97"/>
      <c r="G817" s="97"/>
      <c r="H817" s="97"/>
      <c r="J817" s="97"/>
      <c r="L817" s="97"/>
      <c r="Q817" s="97"/>
    </row>
    <row r="818" ht="15.75" customHeight="1">
      <c r="D818" s="97"/>
      <c r="E818" s="97"/>
      <c r="F818" s="97"/>
      <c r="G818" s="97"/>
      <c r="H818" s="97"/>
      <c r="J818" s="97"/>
      <c r="L818" s="97"/>
      <c r="Q818" s="97"/>
    </row>
    <row r="819" ht="15.75" customHeight="1">
      <c r="D819" s="97"/>
      <c r="E819" s="97"/>
      <c r="F819" s="97"/>
      <c r="G819" s="97"/>
      <c r="H819" s="97"/>
      <c r="J819" s="97"/>
      <c r="L819" s="97"/>
      <c r="Q819" s="97"/>
    </row>
    <row r="820" ht="15.75" customHeight="1">
      <c r="D820" s="97"/>
      <c r="E820" s="97"/>
      <c r="F820" s="97"/>
      <c r="G820" s="97"/>
      <c r="H820" s="97"/>
      <c r="J820" s="97"/>
      <c r="L820" s="97"/>
      <c r="Q820" s="97"/>
    </row>
    <row r="821" ht="15.75" customHeight="1">
      <c r="D821" s="97"/>
      <c r="E821" s="97"/>
      <c r="F821" s="97"/>
      <c r="G821" s="97"/>
      <c r="H821" s="97"/>
      <c r="J821" s="97"/>
      <c r="L821" s="97"/>
      <c r="Q821" s="97"/>
    </row>
    <row r="822" ht="15.75" customHeight="1">
      <c r="D822" s="97"/>
      <c r="E822" s="97"/>
      <c r="F822" s="97"/>
      <c r="G822" s="97"/>
      <c r="H822" s="97"/>
      <c r="J822" s="97"/>
      <c r="L822" s="97"/>
      <c r="Q822" s="97"/>
    </row>
    <row r="823" ht="15.75" customHeight="1">
      <c r="D823" s="97"/>
      <c r="E823" s="97"/>
      <c r="F823" s="97"/>
      <c r="G823" s="97"/>
      <c r="H823" s="97"/>
      <c r="J823" s="97"/>
      <c r="L823" s="97"/>
      <c r="Q823" s="97"/>
    </row>
    <row r="824" ht="15.75" customHeight="1">
      <c r="D824" s="97"/>
      <c r="E824" s="97"/>
      <c r="F824" s="97"/>
      <c r="G824" s="97"/>
      <c r="H824" s="97"/>
      <c r="J824" s="97"/>
      <c r="L824" s="97"/>
      <c r="Q824" s="97"/>
    </row>
    <row r="825" ht="15.75" customHeight="1">
      <c r="D825" s="97"/>
      <c r="E825" s="97"/>
      <c r="F825" s="97"/>
      <c r="G825" s="97"/>
      <c r="H825" s="97"/>
      <c r="J825" s="97"/>
      <c r="L825" s="97"/>
      <c r="Q825" s="97"/>
    </row>
    <row r="826" ht="15.75" customHeight="1">
      <c r="D826" s="97"/>
      <c r="E826" s="97"/>
      <c r="F826" s="97"/>
      <c r="G826" s="97"/>
      <c r="H826" s="97"/>
      <c r="J826" s="97"/>
      <c r="L826" s="97"/>
      <c r="Q826" s="97"/>
    </row>
    <row r="827" ht="15.75" customHeight="1">
      <c r="D827" s="97"/>
      <c r="E827" s="97"/>
      <c r="F827" s="97"/>
      <c r="G827" s="97"/>
      <c r="H827" s="97"/>
      <c r="J827" s="97"/>
      <c r="L827" s="97"/>
      <c r="Q827" s="97"/>
    </row>
    <row r="828" ht="15.75" customHeight="1">
      <c r="D828" s="97"/>
      <c r="E828" s="97"/>
      <c r="F828" s="97"/>
      <c r="G828" s="97"/>
      <c r="H828" s="97"/>
      <c r="J828" s="97"/>
      <c r="L828" s="97"/>
      <c r="Q828" s="97"/>
    </row>
    <row r="829" ht="15.75" customHeight="1">
      <c r="D829" s="97"/>
      <c r="E829" s="97"/>
      <c r="F829" s="97"/>
      <c r="G829" s="97"/>
      <c r="H829" s="97"/>
      <c r="J829" s="97"/>
      <c r="L829" s="97"/>
      <c r="Q829" s="97"/>
    </row>
    <row r="830" ht="15.75" customHeight="1">
      <c r="D830" s="97"/>
      <c r="E830" s="97"/>
      <c r="F830" s="97"/>
      <c r="G830" s="97"/>
      <c r="H830" s="97"/>
      <c r="J830" s="97"/>
      <c r="L830" s="97"/>
      <c r="Q830" s="97"/>
    </row>
    <row r="831" ht="15.75" customHeight="1">
      <c r="D831" s="97"/>
      <c r="E831" s="97"/>
      <c r="F831" s="97"/>
      <c r="G831" s="97"/>
      <c r="H831" s="97"/>
      <c r="J831" s="97"/>
      <c r="L831" s="97"/>
      <c r="Q831" s="97"/>
    </row>
    <row r="832" ht="15.75" customHeight="1">
      <c r="D832" s="97"/>
      <c r="E832" s="97"/>
      <c r="F832" s="97"/>
      <c r="G832" s="97"/>
      <c r="H832" s="97"/>
      <c r="J832" s="97"/>
      <c r="L832" s="97"/>
      <c r="Q832" s="97"/>
    </row>
    <row r="833" ht="15.75" customHeight="1">
      <c r="D833" s="97"/>
      <c r="E833" s="97"/>
      <c r="F833" s="97"/>
      <c r="G833" s="97"/>
      <c r="H833" s="97"/>
      <c r="J833" s="97"/>
      <c r="L833" s="97"/>
      <c r="Q833" s="97"/>
    </row>
    <row r="834" ht="15.75" customHeight="1">
      <c r="D834" s="97"/>
      <c r="E834" s="97"/>
      <c r="F834" s="97"/>
      <c r="G834" s="97"/>
      <c r="H834" s="97"/>
      <c r="J834" s="97"/>
      <c r="L834" s="97"/>
      <c r="Q834" s="97"/>
    </row>
    <row r="835" ht="15.75" customHeight="1">
      <c r="D835" s="97"/>
      <c r="E835" s="97"/>
      <c r="F835" s="97"/>
      <c r="G835" s="97"/>
      <c r="H835" s="97"/>
      <c r="J835" s="97"/>
      <c r="L835" s="97"/>
      <c r="Q835" s="97"/>
    </row>
    <row r="836" ht="15.75" customHeight="1">
      <c r="D836" s="97"/>
      <c r="E836" s="97"/>
      <c r="F836" s="97"/>
      <c r="G836" s="97"/>
      <c r="H836" s="97"/>
      <c r="J836" s="97"/>
      <c r="L836" s="97"/>
      <c r="Q836" s="97"/>
    </row>
    <row r="837" ht="15.75" customHeight="1">
      <c r="D837" s="97"/>
      <c r="E837" s="97"/>
      <c r="F837" s="97"/>
      <c r="G837" s="97"/>
      <c r="H837" s="97"/>
      <c r="J837" s="97"/>
      <c r="L837" s="97"/>
      <c r="Q837" s="97"/>
    </row>
    <row r="838" ht="15.75" customHeight="1">
      <c r="D838" s="97"/>
      <c r="E838" s="97"/>
      <c r="F838" s="97"/>
      <c r="G838" s="97"/>
      <c r="H838" s="97"/>
      <c r="J838" s="97"/>
      <c r="L838" s="97"/>
      <c r="Q838" s="97"/>
    </row>
    <row r="839" ht="15.75" customHeight="1">
      <c r="D839" s="97"/>
      <c r="E839" s="97"/>
      <c r="F839" s="97"/>
      <c r="G839" s="97"/>
      <c r="H839" s="97"/>
      <c r="J839" s="97"/>
      <c r="L839" s="97"/>
      <c r="Q839" s="97"/>
    </row>
    <row r="840" ht="15.75" customHeight="1">
      <c r="D840" s="97"/>
      <c r="E840" s="97"/>
      <c r="F840" s="97"/>
      <c r="G840" s="97"/>
      <c r="H840" s="97"/>
      <c r="J840" s="97"/>
      <c r="L840" s="97"/>
      <c r="Q840" s="97"/>
    </row>
    <row r="841" ht="15.75" customHeight="1">
      <c r="D841" s="97"/>
      <c r="E841" s="97"/>
      <c r="F841" s="97"/>
      <c r="G841" s="97"/>
      <c r="H841" s="97"/>
      <c r="J841" s="97"/>
      <c r="L841" s="97"/>
      <c r="Q841" s="97"/>
    </row>
    <row r="842" ht="15.75" customHeight="1">
      <c r="D842" s="97"/>
      <c r="E842" s="97"/>
      <c r="F842" s="97"/>
      <c r="G842" s="97"/>
      <c r="H842" s="97"/>
      <c r="J842" s="97"/>
      <c r="L842" s="97"/>
      <c r="Q842" s="97"/>
    </row>
    <row r="843" ht="15.75" customHeight="1">
      <c r="D843" s="97"/>
      <c r="E843" s="97"/>
      <c r="F843" s="97"/>
      <c r="G843" s="97"/>
      <c r="H843" s="97"/>
      <c r="J843" s="97"/>
      <c r="L843" s="97"/>
      <c r="Q843" s="97"/>
    </row>
    <row r="844" ht="15.75" customHeight="1">
      <c r="D844" s="97"/>
      <c r="E844" s="97"/>
      <c r="F844" s="97"/>
      <c r="G844" s="97"/>
      <c r="H844" s="97"/>
      <c r="J844" s="97"/>
      <c r="L844" s="97"/>
      <c r="Q844" s="97"/>
    </row>
    <row r="845" ht="15.75" customHeight="1">
      <c r="D845" s="97"/>
      <c r="E845" s="97"/>
      <c r="F845" s="97"/>
      <c r="G845" s="97"/>
      <c r="H845" s="97"/>
      <c r="J845" s="97"/>
      <c r="L845" s="97"/>
      <c r="Q845" s="97"/>
    </row>
    <row r="846" ht="15.75" customHeight="1">
      <c r="D846" s="97"/>
      <c r="E846" s="97"/>
      <c r="F846" s="97"/>
      <c r="G846" s="97"/>
      <c r="H846" s="97"/>
      <c r="J846" s="97"/>
      <c r="L846" s="97"/>
      <c r="Q846" s="97"/>
    </row>
    <row r="847" ht="15.75" customHeight="1">
      <c r="D847" s="97"/>
      <c r="E847" s="97"/>
      <c r="F847" s="97"/>
      <c r="G847" s="97"/>
      <c r="H847" s="97"/>
      <c r="J847" s="97"/>
      <c r="L847" s="97"/>
      <c r="Q847" s="97"/>
    </row>
    <row r="848" ht="15.75" customHeight="1">
      <c r="D848" s="97"/>
      <c r="E848" s="97"/>
      <c r="F848" s="97"/>
      <c r="G848" s="97"/>
      <c r="H848" s="97"/>
      <c r="J848" s="97"/>
      <c r="L848" s="97"/>
      <c r="Q848" s="97"/>
    </row>
    <row r="849" ht="15.75" customHeight="1">
      <c r="D849" s="97"/>
      <c r="E849" s="97"/>
      <c r="F849" s="97"/>
      <c r="G849" s="97"/>
      <c r="H849" s="97"/>
      <c r="J849" s="97"/>
      <c r="L849" s="97"/>
      <c r="Q849" s="97"/>
    </row>
    <row r="850" ht="15.75" customHeight="1">
      <c r="D850" s="97"/>
      <c r="E850" s="97"/>
      <c r="F850" s="97"/>
      <c r="G850" s="97"/>
      <c r="H850" s="97"/>
      <c r="J850" s="97"/>
      <c r="L850" s="97"/>
      <c r="Q850" s="97"/>
    </row>
    <row r="851" ht="15.75" customHeight="1">
      <c r="D851" s="97"/>
      <c r="E851" s="97"/>
      <c r="F851" s="97"/>
      <c r="G851" s="97"/>
      <c r="H851" s="97"/>
      <c r="J851" s="97"/>
      <c r="L851" s="97"/>
      <c r="Q851" s="97"/>
    </row>
    <row r="852" ht="15.75" customHeight="1">
      <c r="D852" s="97"/>
      <c r="E852" s="97"/>
      <c r="F852" s="97"/>
      <c r="G852" s="97"/>
      <c r="H852" s="97"/>
      <c r="J852" s="97"/>
      <c r="L852" s="97"/>
      <c r="Q852" s="97"/>
    </row>
    <row r="853" ht="15.75" customHeight="1">
      <c r="D853" s="97"/>
      <c r="E853" s="97"/>
      <c r="F853" s="97"/>
      <c r="G853" s="97"/>
      <c r="H853" s="97"/>
      <c r="J853" s="97"/>
      <c r="L853" s="97"/>
      <c r="Q853" s="97"/>
    </row>
    <row r="854" ht="15.75" customHeight="1">
      <c r="D854" s="97"/>
      <c r="E854" s="97"/>
      <c r="F854" s="97"/>
      <c r="G854" s="97"/>
      <c r="H854" s="97"/>
      <c r="J854" s="97"/>
      <c r="L854" s="97"/>
      <c r="Q854" s="97"/>
    </row>
    <row r="855" ht="15.75" customHeight="1">
      <c r="D855" s="97"/>
      <c r="E855" s="97"/>
      <c r="F855" s="97"/>
      <c r="G855" s="97"/>
      <c r="H855" s="97"/>
      <c r="J855" s="97"/>
      <c r="L855" s="97"/>
      <c r="Q855" s="97"/>
    </row>
    <row r="856" ht="15.75" customHeight="1">
      <c r="D856" s="97"/>
      <c r="E856" s="97"/>
      <c r="F856" s="97"/>
      <c r="G856" s="97"/>
      <c r="H856" s="97"/>
      <c r="J856" s="97"/>
      <c r="L856" s="97"/>
      <c r="Q856" s="97"/>
    </row>
    <row r="857" ht="15.75" customHeight="1">
      <c r="D857" s="97"/>
      <c r="E857" s="97"/>
      <c r="F857" s="97"/>
      <c r="G857" s="97"/>
      <c r="H857" s="97"/>
      <c r="J857" s="97"/>
      <c r="L857" s="97"/>
      <c r="Q857" s="97"/>
    </row>
    <row r="858" ht="15.75" customHeight="1">
      <c r="D858" s="97"/>
      <c r="E858" s="97"/>
      <c r="F858" s="97"/>
      <c r="G858" s="97"/>
      <c r="H858" s="97"/>
      <c r="J858" s="97"/>
      <c r="L858" s="97"/>
      <c r="Q858" s="97"/>
    </row>
    <row r="859" ht="15.75" customHeight="1">
      <c r="D859" s="97"/>
      <c r="E859" s="97"/>
      <c r="F859" s="97"/>
      <c r="G859" s="97"/>
      <c r="H859" s="97"/>
      <c r="J859" s="97"/>
      <c r="L859" s="97"/>
      <c r="Q859" s="97"/>
    </row>
    <row r="860" ht="15.75" customHeight="1">
      <c r="D860" s="97"/>
      <c r="E860" s="97"/>
      <c r="F860" s="97"/>
      <c r="G860" s="97"/>
      <c r="H860" s="97"/>
      <c r="J860" s="97"/>
      <c r="L860" s="97"/>
      <c r="Q860" s="97"/>
    </row>
    <row r="861" ht="15.75" customHeight="1">
      <c r="D861" s="97"/>
      <c r="E861" s="97"/>
      <c r="F861" s="97"/>
      <c r="G861" s="97"/>
      <c r="H861" s="97"/>
      <c r="J861" s="97"/>
      <c r="L861" s="97"/>
      <c r="Q861" s="97"/>
    </row>
    <row r="862" ht="15.75" customHeight="1">
      <c r="D862" s="97"/>
      <c r="E862" s="97"/>
      <c r="F862" s="97"/>
      <c r="G862" s="97"/>
      <c r="H862" s="97"/>
      <c r="J862" s="97"/>
      <c r="L862" s="97"/>
      <c r="Q862" s="97"/>
    </row>
    <row r="863" ht="15.75" customHeight="1">
      <c r="D863" s="97"/>
      <c r="E863" s="97"/>
      <c r="F863" s="97"/>
      <c r="G863" s="97"/>
      <c r="H863" s="97"/>
      <c r="J863" s="97"/>
      <c r="L863" s="97"/>
      <c r="Q863" s="97"/>
    </row>
    <row r="864" ht="15.75" customHeight="1">
      <c r="D864" s="97"/>
      <c r="E864" s="97"/>
      <c r="F864" s="97"/>
      <c r="G864" s="97"/>
      <c r="H864" s="97"/>
      <c r="J864" s="97"/>
      <c r="L864" s="97"/>
      <c r="Q864" s="97"/>
    </row>
    <row r="865" ht="15.75" customHeight="1">
      <c r="D865" s="97"/>
      <c r="E865" s="97"/>
      <c r="F865" s="97"/>
      <c r="G865" s="97"/>
      <c r="H865" s="97"/>
      <c r="J865" s="97"/>
      <c r="L865" s="97"/>
      <c r="Q865" s="97"/>
    </row>
    <row r="866" ht="15.75" customHeight="1">
      <c r="D866" s="97"/>
      <c r="E866" s="97"/>
      <c r="F866" s="97"/>
      <c r="G866" s="97"/>
      <c r="H866" s="97"/>
      <c r="J866" s="97"/>
      <c r="L866" s="97"/>
      <c r="Q866" s="97"/>
    </row>
    <row r="867" ht="15.75" customHeight="1">
      <c r="D867" s="97"/>
      <c r="E867" s="97"/>
      <c r="F867" s="97"/>
      <c r="G867" s="97"/>
      <c r="H867" s="97"/>
      <c r="J867" s="97"/>
      <c r="L867" s="97"/>
      <c r="Q867" s="97"/>
    </row>
    <row r="868" ht="15.75" customHeight="1">
      <c r="D868" s="97"/>
      <c r="E868" s="97"/>
      <c r="F868" s="97"/>
      <c r="G868" s="97"/>
      <c r="H868" s="97"/>
      <c r="J868" s="97"/>
      <c r="L868" s="97"/>
      <c r="Q868" s="97"/>
    </row>
    <row r="869" ht="15.75" customHeight="1">
      <c r="D869" s="97"/>
      <c r="E869" s="97"/>
      <c r="F869" s="97"/>
      <c r="G869" s="97"/>
      <c r="H869" s="97"/>
      <c r="J869" s="97"/>
      <c r="L869" s="97"/>
      <c r="Q869" s="97"/>
    </row>
    <row r="870" ht="15.75" customHeight="1">
      <c r="D870" s="97"/>
      <c r="E870" s="97"/>
      <c r="F870" s="97"/>
      <c r="G870" s="97"/>
      <c r="H870" s="97"/>
      <c r="J870" s="97"/>
      <c r="L870" s="97"/>
      <c r="Q870" s="97"/>
    </row>
    <row r="871" ht="15.75" customHeight="1">
      <c r="D871" s="97"/>
      <c r="E871" s="97"/>
      <c r="F871" s="97"/>
      <c r="G871" s="97"/>
      <c r="H871" s="97"/>
      <c r="J871" s="97"/>
      <c r="L871" s="97"/>
      <c r="Q871" s="97"/>
    </row>
    <row r="872" ht="15.75" customHeight="1">
      <c r="D872" s="97"/>
      <c r="E872" s="97"/>
      <c r="F872" s="97"/>
      <c r="G872" s="97"/>
      <c r="H872" s="97"/>
      <c r="J872" s="97"/>
      <c r="L872" s="97"/>
      <c r="Q872" s="97"/>
    </row>
    <row r="873" ht="15.75" customHeight="1">
      <c r="D873" s="97"/>
      <c r="E873" s="97"/>
      <c r="F873" s="97"/>
      <c r="G873" s="97"/>
      <c r="H873" s="97"/>
      <c r="J873" s="97"/>
      <c r="L873" s="97"/>
      <c r="Q873" s="97"/>
    </row>
    <row r="874" ht="15.75" customHeight="1">
      <c r="D874" s="97"/>
      <c r="E874" s="97"/>
      <c r="F874" s="97"/>
      <c r="G874" s="97"/>
      <c r="H874" s="97"/>
      <c r="J874" s="97"/>
      <c r="L874" s="97"/>
      <c r="Q874" s="97"/>
    </row>
    <row r="875" ht="15.75" customHeight="1">
      <c r="D875" s="97"/>
      <c r="E875" s="97"/>
      <c r="F875" s="97"/>
      <c r="G875" s="97"/>
      <c r="H875" s="97"/>
      <c r="J875" s="97"/>
      <c r="L875" s="97"/>
      <c r="Q875" s="97"/>
    </row>
    <row r="876" ht="15.75" customHeight="1">
      <c r="D876" s="97"/>
      <c r="E876" s="97"/>
      <c r="F876" s="97"/>
      <c r="G876" s="97"/>
      <c r="H876" s="97"/>
      <c r="J876" s="97"/>
      <c r="L876" s="97"/>
      <c r="Q876" s="97"/>
    </row>
    <row r="877" ht="15.75" customHeight="1">
      <c r="D877" s="97"/>
      <c r="E877" s="97"/>
      <c r="F877" s="97"/>
      <c r="G877" s="97"/>
      <c r="H877" s="97"/>
      <c r="J877" s="97"/>
      <c r="L877" s="97"/>
      <c r="Q877" s="97"/>
    </row>
    <row r="878" ht="15.75" customHeight="1">
      <c r="D878" s="97"/>
      <c r="E878" s="97"/>
      <c r="F878" s="97"/>
      <c r="G878" s="97"/>
      <c r="H878" s="97"/>
      <c r="J878" s="97"/>
      <c r="L878" s="97"/>
      <c r="Q878" s="97"/>
    </row>
    <row r="879" ht="15.75" customHeight="1">
      <c r="D879" s="97"/>
      <c r="E879" s="97"/>
      <c r="F879" s="97"/>
      <c r="G879" s="97"/>
      <c r="H879" s="97"/>
      <c r="J879" s="97"/>
      <c r="L879" s="97"/>
      <c r="Q879" s="97"/>
    </row>
    <row r="880" ht="15.75" customHeight="1">
      <c r="D880" s="97"/>
      <c r="E880" s="97"/>
      <c r="F880" s="97"/>
      <c r="G880" s="97"/>
      <c r="H880" s="97"/>
      <c r="J880" s="97"/>
      <c r="L880" s="97"/>
      <c r="Q880" s="97"/>
    </row>
    <row r="881" ht="15.75" customHeight="1">
      <c r="D881" s="97"/>
      <c r="E881" s="97"/>
      <c r="F881" s="97"/>
      <c r="G881" s="97"/>
      <c r="H881" s="97"/>
      <c r="J881" s="97"/>
      <c r="L881" s="97"/>
      <c r="Q881" s="97"/>
    </row>
    <row r="882" ht="15.75" customHeight="1">
      <c r="D882" s="97"/>
      <c r="E882" s="97"/>
      <c r="F882" s="97"/>
      <c r="G882" s="97"/>
      <c r="H882" s="97"/>
      <c r="J882" s="97"/>
      <c r="L882" s="97"/>
      <c r="Q882" s="97"/>
    </row>
    <row r="883" ht="15.75" customHeight="1">
      <c r="D883" s="97"/>
      <c r="E883" s="97"/>
      <c r="F883" s="97"/>
      <c r="G883" s="97"/>
      <c r="H883" s="97"/>
      <c r="J883" s="97"/>
      <c r="L883" s="97"/>
      <c r="Q883" s="97"/>
    </row>
    <row r="884" ht="15.75" customHeight="1">
      <c r="D884" s="97"/>
      <c r="E884" s="97"/>
      <c r="F884" s="97"/>
      <c r="G884" s="97"/>
      <c r="H884" s="97"/>
      <c r="J884" s="97"/>
      <c r="L884" s="97"/>
      <c r="Q884" s="97"/>
    </row>
    <row r="885" ht="15.75" customHeight="1">
      <c r="D885" s="97"/>
      <c r="E885" s="97"/>
      <c r="F885" s="97"/>
      <c r="G885" s="97"/>
      <c r="H885" s="97"/>
      <c r="J885" s="97"/>
      <c r="L885" s="97"/>
      <c r="Q885" s="97"/>
    </row>
    <row r="886" ht="15.75" customHeight="1">
      <c r="D886" s="97"/>
      <c r="E886" s="97"/>
      <c r="F886" s="97"/>
      <c r="G886" s="97"/>
      <c r="H886" s="97"/>
      <c r="J886" s="97"/>
      <c r="L886" s="97"/>
      <c r="Q886" s="97"/>
    </row>
    <row r="887" ht="15.75" customHeight="1">
      <c r="D887" s="97"/>
      <c r="E887" s="97"/>
      <c r="F887" s="97"/>
      <c r="G887" s="97"/>
      <c r="H887" s="97"/>
      <c r="J887" s="97"/>
      <c r="L887" s="97"/>
      <c r="Q887" s="97"/>
    </row>
    <row r="888" ht="15.75" customHeight="1">
      <c r="D888" s="97"/>
      <c r="E888" s="97"/>
      <c r="F888" s="97"/>
      <c r="G888" s="97"/>
      <c r="H888" s="97"/>
      <c r="J888" s="97"/>
      <c r="L888" s="97"/>
      <c r="Q888" s="97"/>
    </row>
    <row r="889" ht="15.75" customHeight="1">
      <c r="D889" s="97"/>
      <c r="E889" s="97"/>
      <c r="F889" s="97"/>
      <c r="G889" s="97"/>
      <c r="H889" s="97"/>
      <c r="J889" s="97"/>
      <c r="L889" s="97"/>
      <c r="Q889" s="97"/>
    </row>
    <row r="890" ht="15.75" customHeight="1">
      <c r="D890" s="97"/>
      <c r="E890" s="97"/>
      <c r="F890" s="97"/>
      <c r="G890" s="97"/>
      <c r="H890" s="97"/>
      <c r="J890" s="97"/>
      <c r="L890" s="97"/>
      <c r="Q890" s="97"/>
    </row>
    <row r="891" ht="15.75" customHeight="1">
      <c r="D891" s="97"/>
      <c r="E891" s="97"/>
      <c r="F891" s="97"/>
      <c r="G891" s="97"/>
      <c r="H891" s="97"/>
      <c r="J891" s="97"/>
      <c r="L891" s="97"/>
      <c r="Q891" s="97"/>
    </row>
    <row r="892" ht="15.75" customHeight="1">
      <c r="D892" s="97"/>
      <c r="E892" s="97"/>
      <c r="F892" s="97"/>
      <c r="G892" s="97"/>
      <c r="H892" s="97"/>
      <c r="J892" s="97"/>
      <c r="L892" s="97"/>
      <c r="Q892" s="97"/>
    </row>
    <row r="893" ht="15.75" customHeight="1">
      <c r="D893" s="97"/>
      <c r="E893" s="97"/>
      <c r="F893" s="97"/>
      <c r="G893" s="97"/>
      <c r="H893" s="97"/>
      <c r="J893" s="97"/>
      <c r="L893" s="97"/>
      <c r="Q893" s="97"/>
    </row>
    <row r="894" ht="15.75" customHeight="1">
      <c r="D894" s="97"/>
      <c r="E894" s="97"/>
      <c r="F894" s="97"/>
      <c r="G894" s="97"/>
      <c r="H894" s="97"/>
      <c r="J894" s="97"/>
      <c r="L894" s="97"/>
      <c r="Q894" s="97"/>
    </row>
    <row r="895" ht="15.75" customHeight="1">
      <c r="D895" s="97"/>
      <c r="E895" s="97"/>
      <c r="F895" s="97"/>
      <c r="G895" s="97"/>
      <c r="H895" s="97"/>
      <c r="J895" s="97"/>
      <c r="L895" s="97"/>
      <c r="Q895" s="97"/>
    </row>
    <row r="896" ht="15.75" customHeight="1">
      <c r="D896" s="97"/>
      <c r="E896" s="97"/>
      <c r="F896" s="97"/>
      <c r="G896" s="97"/>
      <c r="H896" s="97"/>
      <c r="J896" s="97"/>
      <c r="L896" s="97"/>
      <c r="Q896" s="97"/>
    </row>
    <row r="897" ht="15.75" customHeight="1">
      <c r="D897" s="97"/>
      <c r="E897" s="97"/>
      <c r="F897" s="97"/>
      <c r="G897" s="97"/>
      <c r="H897" s="97"/>
      <c r="J897" s="97"/>
      <c r="L897" s="97"/>
      <c r="Q897" s="97"/>
    </row>
    <row r="898" ht="15.75" customHeight="1">
      <c r="D898" s="97"/>
      <c r="E898" s="97"/>
      <c r="F898" s="97"/>
      <c r="G898" s="97"/>
      <c r="H898" s="97"/>
      <c r="J898" s="97"/>
      <c r="L898" s="97"/>
      <c r="Q898" s="97"/>
    </row>
    <row r="899" ht="15.75" customHeight="1">
      <c r="D899" s="97"/>
      <c r="E899" s="97"/>
      <c r="F899" s="97"/>
      <c r="G899" s="97"/>
      <c r="H899" s="97"/>
      <c r="J899" s="97"/>
      <c r="L899" s="97"/>
      <c r="Q899" s="97"/>
    </row>
    <row r="900" ht="15.75" customHeight="1">
      <c r="D900" s="97"/>
      <c r="E900" s="97"/>
      <c r="F900" s="97"/>
      <c r="G900" s="97"/>
      <c r="H900" s="97"/>
      <c r="J900" s="97"/>
      <c r="L900" s="97"/>
      <c r="Q900" s="97"/>
    </row>
    <row r="901" ht="15.75" customHeight="1">
      <c r="D901" s="97"/>
      <c r="E901" s="97"/>
      <c r="F901" s="97"/>
      <c r="G901" s="97"/>
      <c r="H901" s="97"/>
      <c r="J901" s="97"/>
      <c r="L901" s="97"/>
      <c r="Q901" s="97"/>
    </row>
    <row r="902" ht="15.75" customHeight="1">
      <c r="D902" s="97"/>
      <c r="E902" s="97"/>
      <c r="F902" s="97"/>
      <c r="G902" s="97"/>
      <c r="H902" s="97"/>
      <c r="J902" s="97"/>
      <c r="L902" s="97"/>
      <c r="Q902" s="97"/>
    </row>
    <row r="903" ht="15.75" customHeight="1">
      <c r="D903" s="97"/>
      <c r="E903" s="97"/>
      <c r="F903" s="97"/>
      <c r="G903" s="97"/>
      <c r="H903" s="97"/>
      <c r="J903" s="97"/>
      <c r="L903" s="97"/>
      <c r="Q903" s="97"/>
    </row>
    <row r="904" ht="15.75" customHeight="1">
      <c r="D904" s="97"/>
      <c r="E904" s="97"/>
      <c r="F904" s="97"/>
      <c r="G904" s="97"/>
      <c r="H904" s="97"/>
      <c r="J904" s="97"/>
      <c r="L904" s="97"/>
      <c r="Q904" s="97"/>
    </row>
    <row r="905" ht="15.75" customHeight="1">
      <c r="D905" s="97"/>
      <c r="E905" s="97"/>
      <c r="F905" s="97"/>
      <c r="G905" s="97"/>
      <c r="H905" s="97"/>
      <c r="J905" s="97"/>
      <c r="L905" s="97"/>
      <c r="Q905" s="97"/>
    </row>
    <row r="906" ht="15.75" customHeight="1">
      <c r="D906" s="97"/>
      <c r="E906" s="97"/>
      <c r="F906" s="97"/>
      <c r="G906" s="97"/>
      <c r="H906" s="97"/>
      <c r="J906" s="97"/>
      <c r="L906" s="97"/>
      <c r="Q906" s="97"/>
    </row>
    <row r="907" ht="15.75" customHeight="1">
      <c r="D907" s="97"/>
      <c r="E907" s="97"/>
      <c r="F907" s="97"/>
      <c r="G907" s="97"/>
      <c r="H907" s="97"/>
      <c r="J907" s="97"/>
      <c r="L907" s="97"/>
      <c r="Q907" s="97"/>
    </row>
    <row r="908" ht="15.75" customHeight="1">
      <c r="D908" s="97"/>
      <c r="E908" s="97"/>
      <c r="F908" s="97"/>
      <c r="G908" s="97"/>
      <c r="H908" s="97"/>
      <c r="J908" s="97"/>
      <c r="L908" s="97"/>
      <c r="Q908" s="97"/>
    </row>
    <row r="909" ht="15.75" customHeight="1">
      <c r="D909" s="97"/>
      <c r="E909" s="97"/>
      <c r="F909" s="97"/>
      <c r="G909" s="97"/>
      <c r="H909" s="97"/>
      <c r="J909" s="97"/>
      <c r="L909" s="97"/>
      <c r="Q909" s="97"/>
    </row>
    <row r="910" ht="15.75" customHeight="1">
      <c r="D910" s="97"/>
      <c r="E910" s="97"/>
      <c r="F910" s="97"/>
      <c r="G910" s="97"/>
      <c r="H910" s="97"/>
      <c r="J910" s="97"/>
      <c r="L910" s="97"/>
      <c r="Q910" s="97"/>
    </row>
    <row r="911" ht="15.75" customHeight="1">
      <c r="D911" s="97"/>
      <c r="E911" s="97"/>
      <c r="F911" s="97"/>
      <c r="G911" s="97"/>
      <c r="H911" s="97"/>
      <c r="J911" s="97"/>
      <c r="L911" s="97"/>
      <c r="Q911" s="97"/>
    </row>
    <row r="912" ht="15.75" customHeight="1">
      <c r="D912" s="97"/>
      <c r="E912" s="97"/>
      <c r="F912" s="97"/>
      <c r="G912" s="97"/>
      <c r="H912" s="97"/>
      <c r="J912" s="97"/>
      <c r="L912" s="97"/>
      <c r="Q912" s="97"/>
    </row>
    <row r="913" ht="15.75" customHeight="1">
      <c r="D913" s="97"/>
      <c r="E913" s="97"/>
      <c r="F913" s="97"/>
      <c r="G913" s="97"/>
      <c r="H913" s="97"/>
      <c r="J913" s="97"/>
      <c r="L913" s="97"/>
      <c r="Q913" s="97"/>
    </row>
    <row r="914" ht="15.75" customHeight="1">
      <c r="D914" s="97"/>
      <c r="E914" s="97"/>
      <c r="F914" s="97"/>
      <c r="G914" s="97"/>
      <c r="H914" s="97"/>
      <c r="J914" s="97"/>
      <c r="L914" s="97"/>
      <c r="Q914" s="97"/>
    </row>
    <row r="915" ht="15.75" customHeight="1">
      <c r="D915" s="97"/>
      <c r="E915" s="97"/>
      <c r="F915" s="97"/>
      <c r="G915" s="97"/>
      <c r="H915" s="97"/>
      <c r="J915" s="97"/>
      <c r="L915" s="97"/>
      <c r="Q915" s="97"/>
    </row>
    <row r="916" ht="15.75" customHeight="1">
      <c r="D916" s="97"/>
      <c r="E916" s="97"/>
      <c r="F916" s="97"/>
      <c r="G916" s="97"/>
      <c r="H916" s="97"/>
      <c r="J916" s="97"/>
      <c r="L916" s="97"/>
      <c r="Q916" s="97"/>
    </row>
    <row r="917" ht="15.75" customHeight="1">
      <c r="D917" s="97"/>
      <c r="E917" s="97"/>
      <c r="F917" s="97"/>
      <c r="G917" s="97"/>
      <c r="H917" s="97"/>
      <c r="J917" s="97"/>
      <c r="L917" s="97"/>
      <c r="Q917" s="97"/>
    </row>
    <row r="918" ht="15.75" customHeight="1">
      <c r="D918" s="97"/>
      <c r="E918" s="97"/>
      <c r="F918" s="97"/>
      <c r="G918" s="97"/>
      <c r="H918" s="97"/>
      <c r="J918" s="97"/>
      <c r="L918" s="97"/>
      <c r="Q918" s="97"/>
    </row>
    <row r="919" ht="15.75" customHeight="1">
      <c r="D919" s="97"/>
      <c r="E919" s="97"/>
      <c r="F919" s="97"/>
      <c r="G919" s="97"/>
      <c r="H919" s="97"/>
      <c r="J919" s="97"/>
      <c r="L919" s="97"/>
      <c r="Q919" s="97"/>
    </row>
    <row r="920" ht="15.75" customHeight="1">
      <c r="D920" s="97"/>
      <c r="E920" s="97"/>
      <c r="F920" s="97"/>
      <c r="G920" s="97"/>
      <c r="H920" s="97"/>
      <c r="J920" s="97"/>
      <c r="L920" s="97"/>
      <c r="Q920" s="97"/>
    </row>
    <row r="921" ht="15.75" customHeight="1">
      <c r="D921" s="97"/>
      <c r="E921" s="97"/>
      <c r="F921" s="97"/>
      <c r="G921" s="97"/>
      <c r="H921" s="97"/>
      <c r="J921" s="97"/>
      <c r="L921" s="97"/>
      <c r="Q921" s="97"/>
    </row>
    <row r="922" ht="15.75" customHeight="1">
      <c r="D922" s="97"/>
      <c r="E922" s="97"/>
      <c r="F922" s="97"/>
      <c r="G922" s="97"/>
      <c r="H922" s="97"/>
      <c r="J922" s="97"/>
      <c r="L922" s="97"/>
      <c r="Q922" s="97"/>
    </row>
    <row r="923" ht="15.75" customHeight="1">
      <c r="D923" s="97"/>
      <c r="E923" s="97"/>
      <c r="F923" s="97"/>
      <c r="G923" s="97"/>
      <c r="H923" s="97"/>
      <c r="J923" s="97"/>
      <c r="L923" s="97"/>
      <c r="Q923" s="97"/>
    </row>
    <row r="924" ht="15.75" customHeight="1">
      <c r="D924" s="97"/>
      <c r="E924" s="97"/>
      <c r="F924" s="97"/>
      <c r="G924" s="97"/>
      <c r="H924" s="97"/>
      <c r="J924" s="97"/>
      <c r="L924" s="97"/>
      <c r="Q924" s="97"/>
    </row>
    <row r="925" ht="15.75" customHeight="1">
      <c r="D925" s="97"/>
      <c r="E925" s="97"/>
      <c r="F925" s="97"/>
      <c r="G925" s="97"/>
      <c r="H925" s="97"/>
      <c r="J925" s="97"/>
      <c r="L925" s="97"/>
      <c r="Q925" s="97"/>
    </row>
    <row r="926" ht="15.75" customHeight="1">
      <c r="D926" s="97"/>
      <c r="E926" s="97"/>
      <c r="F926" s="97"/>
      <c r="G926" s="97"/>
      <c r="H926" s="97"/>
      <c r="J926" s="97"/>
      <c r="L926" s="97"/>
      <c r="Q926" s="97"/>
    </row>
    <row r="927" ht="15.75" customHeight="1">
      <c r="D927" s="97"/>
      <c r="E927" s="97"/>
      <c r="F927" s="97"/>
      <c r="G927" s="97"/>
      <c r="H927" s="97"/>
      <c r="J927" s="97"/>
      <c r="L927" s="97"/>
      <c r="Q927" s="97"/>
    </row>
    <row r="928" ht="15.75" customHeight="1">
      <c r="D928" s="97"/>
      <c r="E928" s="97"/>
      <c r="F928" s="97"/>
      <c r="G928" s="97"/>
      <c r="H928" s="97"/>
      <c r="J928" s="97"/>
      <c r="L928" s="97"/>
      <c r="Q928" s="97"/>
    </row>
    <row r="929" ht="15.75" customHeight="1">
      <c r="D929" s="97"/>
      <c r="E929" s="97"/>
      <c r="F929" s="97"/>
      <c r="G929" s="97"/>
      <c r="H929" s="97"/>
      <c r="J929" s="97"/>
      <c r="L929" s="97"/>
      <c r="Q929" s="97"/>
    </row>
    <row r="930" ht="15.75" customHeight="1">
      <c r="D930" s="97"/>
      <c r="E930" s="97"/>
      <c r="F930" s="97"/>
      <c r="G930" s="97"/>
      <c r="H930" s="97"/>
      <c r="J930" s="97"/>
      <c r="L930" s="97"/>
      <c r="Q930" s="97"/>
    </row>
    <row r="931" ht="15.75" customHeight="1">
      <c r="D931" s="97"/>
      <c r="E931" s="97"/>
      <c r="F931" s="97"/>
      <c r="G931" s="97"/>
      <c r="H931" s="97"/>
      <c r="J931" s="97"/>
      <c r="L931" s="97"/>
      <c r="Q931" s="97"/>
    </row>
    <row r="932" ht="15.75" customHeight="1">
      <c r="D932" s="97"/>
      <c r="E932" s="97"/>
      <c r="F932" s="97"/>
      <c r="G932" s="97"/>
      <c r="H932" s="97"/>
      <c r="J932" s="97"/>
      <c r="L932" s="97"/>
      <c r="Q932" s="97"/>
    </row>
    <row r="933" ht="15.75" customHeight="1">
      <c r="D933" s="97"/>
      <c r="E933" s="97"/>
      <c r="F933" s="97"/>
      <c r="G933" s="97"/>
      <c r="H933" s="97"/>
      <c r="J933" s="97"/>
      <c r="L933" s="97"/>
      <c r="Q933" s="97"/>
    </row>
    <row r="934" ht="15.75" customHeight="1">
      <c r="D934" s="97"/>
      <c r="E934" s="97"/>
      <c r="F934" s="97"/>
      <c r="G934" s="97"/>
      <c r="H934" s="97"/>
      <c r="J934" s="97"/>
      <c r="L934" s="97"/>
      <c r="Q934" s="97"/>
    </row>
    <row r="935" ht="15.75" customHeight="1">
      <c r="D935" s="97"/>
      <c r="E935" s="97"/>
      <c r="F935" s="97"/>
      <c r="G935" s="97"/>
      <c r="H935" s="97"/>
      <c r="J935" s="97"/>
      <c r="L935" s="97"/>
      <c r="Q935" s="97"/>
    </row>
    <row r="936" ht="15.75" customHeight="1">
      <c r="D936" s="97"/>
      <c r="E936" s="97"/>
      <c r="F936" s="97"/>
      <c r="G936" s="97"/>
      <c r="H936" s="97"/>
      <c r="J936" s="97"/>
      <c r="L936" s="97"/>
      <c r="Q936" s="97"/>
    </row>
    <row r="937" ht="15.75" customHeight="1">
      <c r="D937" s="97"/>
      <c r="E937" s="97"/>
      <c r="F937" s="97"/>
      <c r="G937" s="97"/>
      <c r="H937" s="97"/>
      <c r="J937" s="97"/>
      <c r="L937" s="97"/>
      <c r="Q937" s="97"/>
    </row>
    <row r="938" ht="15.75" customHeight="1">
      <c r="D938" s="97"/>
      <c r="E938" s="97"/>
      <c r="F938" s="97"/>
      <c r="G938" s="97"/>
      <c r="H938" s="97"/>
      <c r="J938" s="97"/>
      <c r="L938" s="97"/>
      <c r="Q938" s="97"/>
    </row>
    <row r="939" ht="15.75" customHeight="1">
      <c r="D939" s="97"/>
      <c r="E939" s="97"/>
      <c r="F939" s="97"/>
      <c r="G939" s="97"/>
      <c r="H939" s="97"/>
      <c r="J939" s="97"/>
      <c r="L939" s="97"/>
      <c r="Q939" s="97"/>
    </row>
    <row r="940" ht="15.75" customHeight="1">
      <c r="D940" s="97"/>
      <c r="E940" s="97"/>
      <c r="F940" s="97"/>
      <c r="G940" s="97"/>
      <c r="H940" s="97"/>
      <c r="J940" s="97"/>
      <c r="L940" s="97"/>
      <c r="Q940" s="97"/>
    </row>
    <row r="941" ht="15.75" customHeight="1">
      <c r="D941" s="97"/>
      <c r="E941" s="97"/>
      <c r="F941" s="97"/>
      <c r="G941" s="97"/>
      <c r="H941" s="97"/>
      <c r="J941" s="97"/>
      <c r="L941" s="97"/>
      <c r="Q941" s="97"/>
    </row>
    <row r="942" ht="15.75" customHeight="1">
      <c r="D942" s="97"/>
      <c r="E942" s="97"/>
      <c r="F942" s="97"/>
      <c r="G942" s="97"/>
      <c r="H942" s="97"/>
      <c r="J942" s="97"/>
      <c r="L942" s="97"/>
      <c r="Q942" s="97"/>
    </row>
    <row r="943" ht="15.75" customHeight="1">
      <c r="D943" s="97"/>
      <c r="E943" s="97"/>
      <c r="F943" s="97"/>
      <c r="G943" s="97"/>
      <c r="H943" s="97"/>
      <c r="J943" s="97"/>
      <c r="L943" s="97"/>
      <c r="Q943" s="97"/>
    </row>
    <row r="944" ht="15.75" customHeight="1">
      <c r="D944" s="97"/>
      <c r="E944" s="97"/>
      <c r="F944" s="97"/>
      <c r="G944" s="97"/>
      <c r="H944" s="97"/>
      <c r="J944" s="97"/>
      <c r="L944" s="97"/>
      <c r="Q944" s="97"/>
    </row>
    <row r="945" ht="15.75" customHeight="1">
      <c r="D945" s="97"/>
      <c r="E945" s="97"/>
      <c r="F945" s="97"/>
      <c r="G945" s="97"/>
      <c r="H945" s="97"/>
      <c r="J945" s="97"/>
      <c r="L945" s="97"/>
      <c r="Q945" s="97"/>
    </row>
    <row r="946" ht="15.75" customHeight="1">
      <c r="D946" s="97"/>
      <c r="E946" s="97"/>
      <c r="F946" s="97"/>
      <c r="G946" s="97"/>
      <c r="H946" s="97"/>
      <c r="J946" s="97"/>
      <c r="L946" s="97"/>
      <c r="Q946" s="97"/>
    </row>
    <row r="947" ht="15.75" customHeight="1">
      <c r="D947" s="97"/>
      <c r="E947" s="97"/>
      <c r="F947" s="97"/>
      <c r="G947" s="97"/>
      <c r="H947" s="97"/>
      <c r="J947" s="97"/>
      <c r="L947" s="97"/>
      <c r="Q947" s="97"/>
    </row>
    <row r="948" ht="15.75" customHeight="1">
      <c r="D948" s="97"/>
      <c r="E948" s="97"/>
      <c r="F948" s="97"/>
      <c r="G948" s="97"/>
      <c r="H948" s="97"/>
      <c r="J948" s="97"/>
      <c r="L948" s="97"/>
      <c r="Q948" s="97"/>
    </row>
    <row r="949" ht="15.75" customHeight="1">
      <c r="D949" s="97"/>
      <c r="E949" s="97"/>
      <c r="F949" s="97"/>
      <c r="G949" s="97"/>
      <c r="H949" s="97"/>
      <c r="J949" s="97"/>
      <c r="L949" s="97"/>
      <c r="Q949" s="97"/>
    </row>
    <row r="950" ht="15.75" customHeight="1">
      <c r="D950" s="97"/>
      <c r="E950" s="97"/>
      <c r="F950" s="97"/>
      <c r="G950" s="97"/>
      <c r="H950" s="97"/>
      <c r="J950" s="97"/>
      <c r="L950" s="97"/>
      <c r="Q950" s="97"/>
    </row>
    <row r="951" ht="15.75" customHeight="1">
      <c r="D951" s="97"/>
      <c r="E951" s="97"/>
      <c r="F951" s="97"/>
      <c r="G951" s="97"/>
      <c r="H951" s="97"/>
      <c r="J951" s="97"/>
      <c r="L951" s="97"/>
      <c r="Q951" s="97"/>
    </row>
    <row r="952" ht="15.75" customHeight="1">
      <c r="D952" s="97"/>
      <c r="E952" s="97"/>
      <c r="F952" s="97"/>
      <c r="G952" s="97"/>
      <c r="H952" s="97"/>
      <c r="J952" s="97"/>
      <c r="L952" s="97"/>
      <c r="Q952" s="97"/>
    </row>
    <row r="953" ht="15.75" customHeight="1">
      <c r="D953" s="97"/>
      <c r="E953" s="97"/>
      <c r="F953" s="97"/>
      <c r="G953" s="97"/>
      <c r="H953" s="97"/>
      <c r="J953" s="97"/>
      <c r="L953" s="97"/>
      <c r="Q953" s="97"/>
    </row>
    <row r="954" ht="15.75" customHeight="1">
      <c r="D954" s="97"/>
      <c r="E954" s="97"/>
      <c r="F954" s="97"/>
      <c r="G954" s="97"/>
      <c r="H954" s="97"/>
      <c r="J954" s="97"/>
      <c r="L954" s="97"/>
      <c r="Q954" s="97"/>
    </row>
    <row r="955" ht="15.75" customHeight="1">
      <c r="D955" s="97"/>
      <c r="E955" s="97"/>
      <c r="F955" s="97"/>
      <c r="G955" s="97"/>
      <c r="H955" s="97"/>
      <c r="J955" s="97"/>
      <c r="L955" s="97"/>
      <c r="Q955" s="97"/>
    </row>
    <row r="956" ht="15.75" customHeight="1">
      <c r="D956" s="97"/>
      <c r="E956" s="97"/>
      <c r="F956" s="97"/>
      <c r="G956" s="97"/>
      <c r="H956" s="97"/>
      <c r="J956" s="97"/>
      <c r="L956" s="97"/>
      <c r="Q956" s="97"/>
    </row>
    <row r="957" ht="15.75" customHeight="1">
      <c r="D957" s="97"/>
      <c r="E957" s="97"/>
      <c r="F957" s="97"/>
      <c r="G957" s="97"/>
      <c r="H957" s="97"/>
      <c r="J957" s="97"/>
      <c r="L957" s="97"/>
      <c r="Q957" s="97"/>
    </row>
    <row r="958" ht="15.75" customHeight="1">
      <c r="D958" s="97"/>
      <c r="E958" s="97"/>
      <c r="F958" s="97"/>
      <c r="G958" s="97"/>
      <c r="H958" s="97"/>
      <c r="J958" s="97"/>
      <c r="L958" s="97"/>
      <c r="Q958" s="97"/>
    </row>
    <row r="959" ht="15.75" customHeight="1">
      <c r="D959" s="97"/>
      <c r="E959" s="97"/>
      <c r="F959" s="97"/>
      <c r="G959" s="97"/>
      <c r="H959" s="97"/>
      <c r="J959" s="97"/>
      <c r="L959" s="97"/>
      <c r="Q959" s="97"/>
    </row>
    <row r="960" ht="15.75" customHeight="1">
      <c r="D960" s="97"/>
      <c r="E960" s="97"/>
      <c r="F960" s="97"/>
      <c r="G960" s="97"/>
      <c r="H960" s="97"/>
      <c r="J960" s="97"/>
      <c r="L960" s="97"/>
      <c r="Q960" s="97"/>
    </row>
    <row r="961" ht="15.75" customHeight="1">
      <c r="D961" s="97"/>
      <c r="E961" s="97"/>
      <c r="F961" s="97"/>
      <c r="G961" s="97"/>
      <c r="H961" s="97"/>
      <c r="J961" s="97"/>
      <c r="L961" s="97"/>
      <c r="Q961" s="97"/>
    </row>
    <row r="962" ht="15.75" customHeight="1">
      <c r="D962" s="97"/>
      <c r="E962" s="97"/>
      <c r="F962" s="97"/>
      <c r="G962" s="97"/>
      <c r="H962" s="97"/>
      <c r="J962" s="97"/>
      <c r="L962" s="97"/>
      <c r="Q962" s="97"/>
    </row>
    <row r="963" ht="15.75" customHeight="1">
      <c r="D963" s="97"/>
      <c r="E963" s="97"/>
      <c r="F963" s="97"/>
      <c r="G963" s="97"/>
      <c r="H963" s="97"/>
      <c r="J963" s="97"/>
      <c r="L963" s="97"/>
      <c r="Q963" s="97"/>
    </row>
    <row r="964" ht="15.75" customHeight="1">
      <c r="D964" s="97"/>
      <c r="E964" s="97"/>
      <c r="F964" s="97"/>
      <c r="G964" s="97"/>
      <c r="H964" s="97"/>
      <c r="J964" s="97"/>
      <c r="L964" s="97"/>
      <c r="Q964" s="97"/>
    </row>
    <row r="965" ht="15.75" customHeight="1">
      <c r="D965" s="97"/>
      <c r="E965" s="97"/>
      <c r="F965" s="97"/>
      <c r="G965" s="97"/>
      <c r="H965" s="97"/>
      <c r="J965" s="97"/>
      <c r="L965" s="97"/>
      <c r="Q965" s="97"/>
    </row>
    <row r="966" ht="15.75" customHeight="1">
      <c r="D966" s="97"/>
      <c r="E966" s="97"/>
      <c r="F966" s="97"/>
      <c r="G966" s="97"/>
      <c r="H966" s="97"/>
      <c r="J966" s="97"/>
      <c r="L966" s="97"/>
      <c r="Q966" s="97"/>
    </row>
    <row r="967" ht="15.75" customHeight="1">
      <c r="D967" s="97"/>
      <c r="E967" s="97"/>
      <c r="F967" s="97"/>
      <c r="G967" s="97"/>
      <c r="H967" s="97"/>
      <c r="J967" s="97"/>
      <c r="L967" s="97"/>
      <c r="Q967" s="97"/>
    </row>
    <row r="968" ht="15.75" customHeight="1">
      <c r="D968" s="97"/>
      <c r="E968" s="97"/>
      <c r="F968" s="97"/>
      <c r="G968" s="97"/>
      <c r="H968" s="97"/>
      <c r="J968" s="97"/>
      <c r="L968" s="97"/>
      <c r="Q968" s="97"/>
    </row>
    <row r="969" ht="15.75" customHeight="1">
      <c r="D969" s="97"/>
      <c r="E969" s="97"/>
      <c r="F969" s="97"/>
      <c r="G969" s="97"/>
      <c r="H969" s="97"/>
      <c r="J969" s="97"/>
      <c r="L969" s="97"/>
      <c r="Q969" s="97"/>
    </row>
    <row r="970" ht="15.75" customHeight="1">
      <c r="D970" s="97"/>
      <c r="E970" s="97"/>
      <c r="F970" s="97"/>
      <c r="G970" s="97"/>
      <c r="H970" s="97"/>
      <c r="J970" s="97"/>
      <c r="L970" s="97"/>
      <c r="Q970" s="97"/>
    </row>
    <row r="971" ht="15.75" customHeight="1">
      <c r="D971" s="97"/>
      <c r="E971" s="97"/>
      <c r="F971" s="97"/>
      <c r="G971" s="97"/>
      <c r="H971" s="97"/>
      <c r="J971" s="97"/>
      <c r="L971" s="97"/>
      <c r="Q971" s="97"/>
    </row>
    <row r="972" ht="15.75" customHeight="1">
      <c r="D972" s="97"/>
      <c r="E972" s="97"/>
      <c r="F972" s="97"/>
      <c r="G972" s="97"/>
      <c r="H972" s="97"/>
      <c r="J972" s="97"/>
      <c r="L972" s="97"/>
      <c r="Q972" s="97"/>
    </row>
    <row r="973" ht="15.75" customHeight="1">
      <c r="D973" s="97"/>
      <c r="E973" s="97"/>
      <c r="F973" s="97"/>
      <c r="G973" s="97"/>
      <c r="H973" s="97"/>
      <c r="J973" s="97"/>
      <c r="L973" s="97"/>
      <c r="Q973" s="97"/>
    </row>
    <row r="974" ht="15.75" customHeight="1">
      <c r="D974" s="97"/>
      <c r="E974" s="97"/>
      <c r="F974" s="97"/>
      <c r="G974" s="97"/>
      <c r="H974" s="97"/>
      <c r="J974" s="97"/>
      <c r="L974" s="97"/>
      <c r="Q974" s="97"/>
    </row>
    <row r="975" ht="15.75" customHeight="1">
      <c r="D975" s="97"/>
      <c r="E975" s="97"/>
      <c r="F975" s="97"/>
      <c r="G975" s="97"/>
      <c r="H975" s="97"/>
      <c r="J975" s="97"/>
      <c r="L975" s="97"/>
      <c r="Q975" s="97"/>
    </row>
    <row r="976" ht="15.75" customHeight="1">
      <c r="D976" s="97"/>
      <c r="E976" s="97"/>
      <c r="F976" s="97"/>
      <c r="G976" s="97"/>
      <c r="H976" s="97"/>
      <c r="J976" s="97"/>
      <c r="L976" s="97"/>
      <c r="Q976" s="97"/>
    </row>
    <row r="977" ht="15.75" customHeight="1">
      <c r="D977" s="97"/>
      <c r="E977" s="97"/>
      <c r="F977" s="97"/>
      <c r="G977" s="97"/>
      <c r="H977" s="97"/>
      <c r="J977" s="97"/>
      <c r="L977" s="97"/>
      <c r="Q977" s="97"/>
    </row>
    <row r="978" ht="15.75" customHeight="1">
      <c r="D978" s="97"/>
      <c r="E978" s="97"/>
      <c r="F978" s="97"/>
      <c r="G978" s="97"/>
      <c r="H978" s="97"/>
      <c r="J978" s="97"/>
      <c r="L978" s="97"/>
      <c r="Q978" s="97"/>
    </row>
    <row r="979" ht="15.75" customHeight="1">
      <c r="D979" s="97"/>
      <c r="E979" s="97"/>
      <c r="F979" s="97"/>
      <c r="G979" s="97"/>
      <c r="H979" s="97"/>
      <c r="J979" s="97"/>
      <c r="L979" s="97"/>
      <c r="Q979" s="97"/>
    </row>
    <row r="980" ht="15.75" customHeight="1">
      <c r="D980" s="97"/>
      <c r="E980" s="97"/>
      <c r="F980" s="97"/>
      <c r="G980" s="97"/>
      <c r="H980" s="97"/>
      <c r="J980" s="97"/>
      <c r="L980" s="97"/>
      <c r="Q980" s="97"/>
    </row>
    <row r="981" ht="15.75" customHeight="1">
      <c r="D981" s="97"/>
      <c r="E981" s="97"/>
      <c r="F981" s="97"/>
      <c r="G981" s="97"/>
      <c r="H981" s="97"/>
      <c r="J981" s="97"/>
      <c r="L981" s="97"/>
      <c r="Q981" s="97"/>
    </row>
    <row r="982" ht="15.75" customHeight="1">
      <c r="D982" s="97"/>
      <c r="E982" s="97"/>
      <c r="F982" s="97"/>
      <c r="G982" s="97"/>
      <c r="H982" s="97"/>
      <c r="J982" s="97"/>
      <c r="L982" s="97"/>
      <c r="Q982" s="97"/>
    </row>
    <row r="983" ht="15.75" customHeight="1">
      <c r="D983" s="97"/>
      <c r="E983" s="97"/>
      <c r="F983" s="97"/>
      <c r="G983" s="97"/>
      <c r="H983" s="97"/>
      <c r="J983" s="97"/>
      <c r="L983" s="97"/>
      <c r="Q983" s="97"/>
    </row>
    <row r="984" ht="15.75" customHeight="1">
      <c r="D984" s="97"/>
      <c r="E984" s="97"/>
      <c r="F984" s="97"/>
      <c r="G984" s="97"/>
      <c r="H984" s="97"/>
      <c r="J984" s="97"/>
      <c r="L984" s="97"/>
      <c r="Q984" s="97"/>
    </row>
    <row r="985" ht="15.75" customHeight="1">
      <c r="D985" s="97"/>
      <c r="E985" s="97"/>
      <c r="F985" s="97"/>
      <c r="G985" s="97"/>
      <c r="H985" s="97"/>
      <c r="J985" s="97"/>
      <c r="L985" s="97"/>
      <c r="Q985" s="97"/>
    </row>
    <row r="986" ht="15.75" customHeight="1">
      <c r="D986" s="97"/>
      <c r="E986" s="97"/>
      <c r="F986" s="97"/>
      <c r="G986" s="97"/>
      <c r="H986" s="97"/>
      <c r="J986" s="97"/>
      <c r="L986" s="97"/>
      <c r="Q986" s="97"/>
    </row>
    <row r="987" ht="15.75" customHeight="1">
      <c r="D987" s="97"/>
      <c r="E987" s="97"/>
      <c r="F987" s="97"/>
      <c r="G987" s="97"/>
      <c r="H987" s="97"/>
      <c r="J987" s="97"/>
      <c r="L987" s="97"/>
      <c r="Q987" s="97"/>
    </row>
    <row r="988" ht="15.75" customHeight="1">
      <c r="D988" s="97"/>
      <c r="E988" s="97"/>
      <c r="F988" s="97"/>
      <c r="G988" s="97"/>
      <c r="H988" s="97"/>
      <c r="J988" s="97"/>
      <c r="L988" s="97"/>
      <c r="Q988" s="97"/>
    </row>
    <row r="989" ht="15.75" customHeight="1">
      <c r="D989" s="97"/>
      <c r="E989" s="97"/>
      <c r="F989" s="97"/>
      <c r="G989" s="97"/>
      <c r="H989" s="97"/>
      <c r="J989" s="97"/>
      <c r="L989" s="97"/>
      <c r="Q989" s="97"/>
    </row>
    <row r="990" ht="15.75" customHeight="1">
      <c r="D990" s="97"/>
      <c r="E990" s="97"/>
      <c r="F990" s="97"/>
      <c r="G990" s="97"/>
      <c r="H990" s="97"/>
      <c r="J990" s="97"/>
      <c r="L990" s="97"/>
      <c r="Q990" s="97"/>
    </row>
    <row r="991" ht="15.75" customHeight="1">
      <c r="D991" s="97"/>
      <c r="E991" s="97"/>
      <c r="F991" s="97"/>
      <c r="G991" s="97"/>
      <c r="H991" s="97"/>
      <c r="J991" s="97"/>
      <c r="L991" s="97"/>
      <c r="Q991" s="97"/>
    </row>
    <row r="992" ht="15.75" customHeight="1">
      <c r="D992" s="97"/>
      <c r="E992" s="97"/>
      <c r="F992" s="97"/>
      <c r="G992" s="97"/>
      <c r="H992" s="97"/>
      <c r="J992" s="97"/>
      <c r="L992" s="97"/>
      <c r="Q992" s="97"/>
    </row>
    <row r="993" ht="15.75" customHeight="1">
      <c r="D993" s="97"/>
      <c r="E993" s="97"/>
      <c r="F993" s="97"/>
      <c r="G993" s="97"/>
      <c r="H993" s="97"/>
      <c r="J993" s="97"/>
      <c r="L993" s="97"/>
      <c r="Q993" s="97"/>
    </row>
    <row r="994" ht="15.75" customHeight="1">
      <c r="D994" s="97"/>
      <c r="E994" s="97"/>
      <c r="F994" s="97"/>
      <c r="G994" s="97"/>
      <c r="H994" s="97"/>
      <c r="J994" s="97"/>
      <c r="L994" s="97"/>
      <c r="Q994" s="97"/>
    </row>
    <row r="995" ht="15.75" customHeight="1">
      <c r="D995" s="97"/>
      <c r="E995" s="97"/>
      <c r="F995" s="97"/>
      <c r="G995" s="97"/>
      <c r="H995" s="97"/>
      <c r="J995" s="97"/>
      <c r="L995" s="97"/>
      <c r="Q995" s="97"/>
    </row>
    <row r="996" ht="15.75" customHeight="1">
      <c r="D996" s="97"/>
      <c r="E996" s="97"/>
      <c r="F996" s="97"/>
      <c r="G996" s="97"/>
      <c r="H996" s="97"/>
      <c r="J996" s="97"/>
      <c r="L996" s="97"/>
      <c r="Q996" s="97"/>
    </row>
    <row r="997" ht="15.75" customHeight="1">
      <c r="D997" s="97"/>
      <c r="E997" s="97"/>
      <c r="F997" s="97"/>
      <c r="G997" s="97"/>
      <c r="H997" s="97"/>
      <c r="J997" s="97"/>
      <c r="L997" s="97"/>
      <c r="Q997" s="97"/>
    </row>
    <row r="998" ht="15.75" customHeight="1">
      <c r="D998" s="97"/>
      <c r="E998" s="97"/>
      <c r="F998" s="97"/>
      <c r="G998" s="97"/>
      <c r="H998" s="97"/>
      <c r="J998" s="97"/>
      <c r="L998" s="97"/>
      <c r="Q998" s="97"/>
    </row>
    <row r="999" ht="15.75" customHeight="1">
      <c r="D999" s="97"/>
      <c r="E999" s="97"/>
      <c r="F999" s="97"/>
      <c r="G999" s="97"/>
      <c r="H999" s="97"/>
      <c r="J999" s="97"/>
      <c r="L999" s="97"/>
      <c r="Q999" s="97"/>
    </row>
    <row r="1000" ht="15.75" customHeight="1">
      <c r="D1000" s="97"/>
      <c r="E1000" s="97"/>
      <c r="F1000" s="97"/>
      <c r="G1000" s="97"/>
      <c r="H1000" s="97"/>
      <c r="J1000" s="97"/>
      <c r="L1000" s="97"/>
      <c r="Q1000" s="97"/>
    </row>
    <row r="1001" ht="15.75" customHeight="1">
      <c r="D1001" s="97"/>
      <c r="E1001" s="97"/>
      <c r="F1001" s="97"/>
      <c r="G1001" s="97"/>
      <c r="H1001" s="97"/>
      <c r="J1001" s="97"/>
      <c r="L1001" s="97"/>
      <c r="Q1001" s="97"/>
    </row>
    <row r="1002" ht="15.75" customHeight="1">
      <c r="D1002" s="97"/>
      <c r="E1002" s="97"/>
      <c r="F1002" s="97"/>
      <c r="G1002" s="97"/>
      <c r="H1002" s="97"/>
      <c r="J1002" s="97"/>
      <c r="L1002" s="97"/>
      <c r="Q1002" s="97"/>
    </row>
    <row r="1003" ht="15.75" customHeight="1">
      <c r="D1003" s="97"/>
      <c r="E1003" s="97"/>
      <c r="F1003" s="97"/>
      <c r="G1003" s="97"/>
      <c r="H1003" s="97"/>
      <c r="J1003" s="97"/>
      <c r="L1003" s="97"/>
      <c r="Q1003" s="97"/>
    </row>
    <row r="1004" ht="15.75" customHeight="1">
      <c r="D1004" s="97"/>
      <c r="E1004" s="97"/>
      <c r="F1004" s="97"/>
      <c r="G1004" s="97"/>
      <c r="H1004" s="97"/>
      <c r="J1004" s="97"/>
      <c r="L1004" s="97"/>
      <c r="Q1004" s="97"/>
    </row>
  </sheetData>
  <autoFilter ref="$A$5:$Q$12"/>
  <mergeCells count="2">
    <mergeCell ref="A1:U2"/>
    <mergeCell ref="A3:U3"/>
  </mergeCells>
  <conditionalFormatting sqref="J6:J1004">
    <cfRule type="expression" dxfId="5" priority="1">
      <formula>$J6="Done"</formula>
    </cfRule>
  </conditionalFormatting>
  <conditionalFormatting sqref="J6:J1004">
    <cfRule type="expression" dxfId="3" priority="2">
      <formula>OR($J6="Blocked",$J6="Waiting")</formula>
    </cfRule>
  </conditionalFormatting>
  <conditionalFormatting sqref="J6:J1004">
    <cfRule type="expression" dxfId="6" priority="3">
      <formula>$J6="Dropped"</formula>
    </cfRule>
  </conditionalFormatting>
  <conditionalFormatting sqref="L6:L1004">
    <cfRule type="expression" dxfId="4" priority="4">
      <formula>$L6="Yes"</formula>
    </cfRule>
  </conditionalFormatting>
  <dataValidations>
    <dataValidation type="list" allowBlank="1" sqref="F1001:F1004">
      <formula1>"PUSH,MAINTAIN,PARK"</formula1>
    </dataValidation>
    <dataValidation type="list" allowBlank="1" showErrorMessage="1" sqref="F6:F1000">
      <formula1>"PUSH,MAINTAIN,PARK"</formula1>
    </dataValidation>
    <dataValidation type="list" allowBlank="1" sqref="J1001:J1004">
      <formula1>"Open,In Progress,Waiting,Blocked,Done,Dropped"</formula1>
    </dataValidation>
    <dataValidation type="list" allowBlank="1" showErrorMessage="1" sqref="G6:H1000 L6:L1000 Q6:Q1000">
      <formula1>"Yes,No"</formula1>
    </dataValidation>
    <dataValidation type="list" allowBlank="1" sqref="E6:E1004">
      <formula1>"Project Action,Routine Task,Follow-up,Control,Decision,Issue,Improvement,Reference"</formula1>
    </dataValidation>
    <dataValidation type="list" allowBlank="1" sqref="D1001:D1004">
      <formula1>"Ahmad,Emmanuel,Moises,Staff / TBD"</formula1>
    </dataValidation>
    <dataValidation type="list" allowBlank="1" sqref="D6:D1000">
      <formula1>"Ahmad,Emmanuel,Moises,Cathy,Viane,Lorena"</formula1>
    </dataValidation>
    <dataValidation type="list" allowBlank="1" showErrorMessage="1" sqref="J6:J1000">
      <formula1>"Open,In Progress,Waiting,Blocked,Done,Dropped"</formula1>
    </dataValidation>
    <dataValidation type="list" allowBlank="1" sqref="G1001:H1004 L1001:L1004 Q1001:Q1004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23.71"/>
    <col customWidth="1" min="3" max="3" width="47.29"/>
    <col customWidth="1" min="4" max="10" width="18.0"/>
    <col customWidth="1" min="11" max="26" width="8.71"/>
  </cols>
  <sheetData>
    <row r="1" ht="18.0" customHeight="1">
      <c r="A1" s="67" t="s">
        <v>1109</v>
      </c>
      <c r="B1" s="67" t="s">
        <v>1110</v>
      </c>
      <c r="C1" s="67" t="s">
        <v>1113</v>
      </c>
      <c r="D1" s="67" t="s">
        <v>10</v>
      </c>
      <c r="E1" s="67" t="s">
        <v>290</v>
      </c>
      <c r="F1" s="67" t="s">
        <v>1116</v>
      </c>
      <c r="G1" s="67" t="s">
        <v>12</v>
      </c>
      <c r="H1" s="67" t="s">
        <v>1117</v>
      </c>
      <c r="I1" s="67" t="s">
        <v>281</v>
      </c>
      <c r="J1" s="67" t="s">
        <v>1118</v>
      </c>
    </row>
    <row r="2" ht="18.0" customHeight="1">
      <c r="A2" s="69" t="s">
        <v>1120</v>
      </c>
      <c r="B2" s="69" t="s">
        <v>107</v>
      </c>
      <c r="C2" s="69" t="s">
        <v>1121</v>
      </c>
      <c r="D2" s="69" t="s">
        <v>109</v>
      </c>
      <c r="E2" s="69" t="s">
        <v>111</v>
      </c>
      <c r="F2" s="69">
        <v>46269.0</v>
      </c>
      <c r="G2" s="69" t="s">
        <v>677</v>
      </c>
      <c r="H2" s="69"/>
      <c r="I2" s="69" t="s">
        <v>344</v>
      </c>
      <c r="J2" s="69"/>
    </row>
    <row r="3" ht="18.0" customHeight="1">
      <c r="A3" s="69" t="s">
        <v>1124</v>
      </c>
      <c r="B3" s="69" t="s">
        <v>107</v>
      </c>
      <c r="C3" s="69" t="s">
        <v>1125</v>
      </c>
      <c r="D3" s="69" t="s">
        <v>109</v>
      </c>
      <c r="E3" s="69" t="s">
        <v>111</v>
      </c>
      <c r="F3" s="69">
        <v>46269.0</v>
      </c>
      <c r="G3" s="69" t="s">
        <v>677</v>
      </c>
      <c r="H3" s="69"/>
      <c r="I3" s="69" t="s">
        <v>344</v>
      </c>
      <c r="J3" s="69"/>
    </row>
    <row r="4" ht="18.0" customHeight="1">
      <c r="A4" s="69" t="s">
        <v>1126</v>
      </c>
      <c r="B4" s="69" t="s">
        <v>107</v>
      </c>
      <c r="C4" s="69" t="s">
        <v>1127</v>
      </c>
      <c r="D4" s="69" t="s">
        <v>109</v>
      </c>
      <c r="E4" s="69" t="s">
        <v>111</v>
      </c>
      <c r="F4" s="69">
        <v>46269.0</v>
      </c>
      <c r="G4" s="69" t="s">
        <v>677</v>
      </c>
      <c r="H4" s="69"/>
      <c r="I4" s="69" t="s">
        <v>344</v>
      </c>
      <c r="J4" s="69"/>
    </row>
    <row r="5" ht="18.0" customHeight="1">
      <c r="A5" s="69" t="s">
        <v>1128</v>
      </c>
      <c r="B5" s="69" t="s">
        <v>107</v>
      </c>
      <c r="C5" s="69" t="s">
        <v>1129</v>
      </c>
      <c r="D5" s="69" t="s">
        <v>109</v>
      </c>
      <c r="E5" s="69" t="s">
        <v>111</v>
      </c>
      <c r="F5" s="69">
        <v>46269.0</v>
      </c>
      <c r="G5" s="69" t="s">
        <v>677</v>
      </c>
      <c r="H5" s="69"/>
      <c r="I5" s="69" t="s">
        <v>344</v>
      </c>
      <c r="J5" s="69"/>
    </row>
    <row r="6" ht="18.0" customHeight="1">
      <c r="A6" s="69" t="s">
        <v>1132</v>
      </c>
      <c r="B6" s="69" t="s">
        <v>690</v>
      </c>
      <c r="C6" s="69" t="s">
        <v>1133</v>
      </c>
      <c r="D6" s="69" t="s">
        <v>99</v>
      </c>
      <c r="E6" s="69" t="s">
        <v>111</v>
      </c>
      <c r="F6" s="69">
        <v>46269.0</v>
      </c>
      <c r="G6" s="69" t="s">
        <v>677</v>
      </c>
      <c r="H6" s="69"/>
      <c r="I6" s="69" t="s">
        <v>344</v>
      </c>
      <c r="J6" s="69"/>
    </row>
    <row r="7" ht="18.0" customHeight="1">
      <c r="A7" s="69" t="s">
        <v>1135</v>
      </c>
      <c r="B7" s="69" t="s">
        <v>886</v>
      </c>
      <c r="C7" s="69" t="s">
        <v>1136</v>
      </c>
      <c r="D7" s="69" t="s">
        <v>99</v>
      </c>
      <c r="E7" s="69" t="s">
        <v>111</v>
      </c>
      <c r="F7" s="69">
        <v>46269.0</v>
      </c>
      <c r="G7" s="69" t="s">
        <v>677</v>
      </c>
      <c r="H7" s="69"/>
      <c r="I7" s="69" t="s">
        <v>344</v>
      </c>
      <c r="J7" s="69"/>
    </row>
    <row r="8" ht="18.0" customHeight="1">
      <c r="A8" s="69" t="s">
        <v>1137</v>
      </c>
      <c r="B8" s="69" t="s">
        <v>703</v>
      </c>
      <c r="C8" s="69" t="s">
        <v>1138</v>
      </c>
      <c r="D8" s="69" t="s">
        <v>109</v>
      </c>
      <c r="E8" s="69" t="s">
        <v>111</v>
      </c>
      <c r="F8" s="69">
        <v>46269.0</v>
      </c>
      <c r="G8" s="69" t="s">
        <v>677</v>
      </c>
      <c r="H8" s="69"/>
      <c r="I8" s="69" t="s">
        <v>344</v>
      </c>
      <c r="J8" s="69"/>
    </row>
    <row r="9" ht="18.0" customHeight="1">
      <c r="A9" s="69" t="s">
        <v>1139</v>
      </c>
      <c r="B9" s="69" t="s">
        <v>703</v>
      </c>
      <c r="C9" s="69" t="s">
        <v>1140</v>
      </c>
      <c r="D9" s="69" t="s">
        <v>109</v>
      </c>
      <c r="E9" s="69" t="s">
        <v>111</v>
      </c>
      <c r="F9" s="69">
        <v>46269.0</v>
      </c>
      <c r="G9" s="69" t="s">
        <v>677</v>
      </c>
      <c r="H9" s="69"/>
      <c r="I9" s="69" t="s">
        <v>344</v>
      </c>
      <c r="J9" s="69"/>
    </row>
    <row r="10">
      <c r="A10" s="69" t="s">
        <v>1141</v>
      </c>
      <c r="B10" s="69" t="s">
        <v>703</v>
      </c>
      <c r="C10" s="69" t="s">
        <v>1142</v>
      </c>
      <c r="D10" s="69" t="s">
        <v>99</v>
      </c>
      <c r="E10" s="69" t="s">
        <v>111</v>
      </c>
      <c r="F10" s="69">
        <v>46269.0</v>
      </c>
      <c r="G10" s="69" t="s">
        <v>677</v>
      </c>
      <c r="H10" s="69"/>
      <c r="I10" s="69" t="s">
        <v>344</v>
      </c>
      <c r="J10" s="69" t="s">
        <v>1189</v>
      </c>
    </row>
    <row r="11">
      <c r="A11" s="69"/>
      <c r="B11" s="69"/>
      <c r="C11" s="69"/>
      <c r="D11" s="69"/>
      <c r="E11" s="69"/>
      <c r="F11" s="69"/>
      <c r="G11" s="69"/>
      <c r="H11" s="69"/>
      <c r="I11" s="69"/>
      <c r="J11" s="69"/>
    </row>
    <row r="12">
      <c r="A12" s="69"/>
      <c r="B12" s="69"/>
      <c r="C12" s="69"/>
      <c r="D12" s="69"/>
      <c r="E12" s="69"/>
      <c r="F12" s="69"/>
      <c r="G12" s="69"/>
      <c r="H12" s="69"/>
      <c r="I12" s="69"/>
      <c r="J12" s="69"/>
    </row>
    <row r="13">
      <c r="A13" s="69"/>
      <c r="B13" s="69"/>
      <c r="C13" s="69"/>
      <c r="D13" s="69"/>
      <c r="E13" s="69"/>
      <c r="F13" s="69"/>
      <c r="G13" s="69"/>
      <c r="H13" s="69"/>
      <c r="I13" s="69"/>
      <c r="J13" s="69"/>
    </row>
    <row r="14">
      <c r="A14" s="69"/>
      <c r="B14" s="69"/>
      <c r="C14" s="69"/>
      <c r="D14" s="69"/>
      <c r="E14" s="69"/>
      <c r="F14" s="69"/>
      <c r="G14" s="69"/>
      <c r="H14" s="69"/>
      <c r="I14" s="69"/>
      <c r="J14" s="69"/>
    </row>
    <row r="15">
      <c r="A15" s="69"/>
      <c r="B15" s="69"/>
      <c r="C15" s="69"/>
      <c r="D15" s="69"/>
      <c r="E15" s="69"/>
      <c r="F15" s="69"/>
      <c r="G15" s="69"/>
      <c r="H15" s="69"/>
      <c r="I15" s="69"/>
      <c r="J15" s="69"/>
    </row>
    <row r="16">
      <c r="A16" s="69"/>
      <c r="B16" s="69"/>
      <c r="C16" s="69"/>
      <c r="D16" s="69"/>
      <c r="E16" s="69"/>
      <c r="F16" s="69"/>
      <c r="G16" s="69"/>
      <c r="H16" s="69"/>
      <c r="I16" s="69"/>
      <c r="J16" s="69"/>
    </row>
    <row r="17">
      <c r="A17" s="69"/>
      <c r="B17" s="69"/>
      <c r="C17" s="69"/>
      <c r="D17" s="69"/>
      <c r="E17" s="69"/>
      <c r="F17" s="69"/>
      <c r="G17" s="69"/>
      <c r="H17" s="69"/>
      <c r="I17" s="69"/>
      <c r="J17" s="69"/>
    </row>
    <row r="18">
      <c r="A18" s="69"/>
      <c r="B18" s="69"/>
      <c r="C18" s="69"/>
      <c r="D18" s="69"/>
      <c r="E18" s="69"/>
      <c r="F18" s="69"/>
      <c r="G18" s="69"/>
      <c r="H18" s="69"/>
      <c r="I18" s="69"/>
      <c r="J18" s="69"/>
    </row>
    <row r="19">
      <c r="A19" s="69"/>
      <c r="B19" s="69"/>
      <c r="C19" s="69"/>
      <c r="D19" s="69"/>
      <c r="E19" s="69"/>
      <c r="F19" s="69"/>
      <c r="G19" s="69"/>
      <c r="H19" s="69"/>
      <c r="I19" s="69"/>
      <c r="J19" s="69"/>
    </row>
    <row r="20">
      <c r="A20" s="69"/>
      <c r="B20" s="69"/>
      <c r="C20" s="69"/>
      <c r="D20" s="69"/>
      <c r="E20" s="69"/>
      <c r="F20" s="69"/>
      <c r="G20" s="69"/>
      <c r="H20" s="69"/>
      <c r="I20" s="69"/>
      <c r="J20" s="69"/>
    </row>
    <row r="21" ht="15.75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</row>
    <row r="22" ht="15.7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</row>
    <row r="23" ht="15.7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</row>
    <row r="24" ht="15.7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</row>
    <row r="25" ht="15.7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</row>
    <row r="26" ht="15.7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</row>
    <row r="27" ht="15.7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</row>
    <row r="28" ht="15.7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</row>
    <row r="29" ht="15.7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</row>
    <row r="30" ht="15.7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</row>
    <row r="31" ht="15.7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</row>
    <row r="32" ht="15.7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</row>
    <row r="33" ht="15.7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</row>
    <row r="34" ht="15.7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</row>
    <row r="35" ht="15.7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</row>
    <row r="36" ht="15.7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</row>
    <row r="37" ht="15.7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</row>
    <row r="38" ht="15.7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</row>
    <row r="39" ht="15.7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</row>
    <row r="101" ht="15.75" customHeight="1">
      <c r="D101" s="97"/>
      <c r="E101" s="97"/>
      <c r="G101" s="97"/>
      <c r="I101" s="97"/>
    </row>
    <row r="102" ht="15.75" customHeight="1">
      <c r="D102" s="97"/>
      <c r="E102" s="97"/>
      <c r="G102" s="97"/>
      <c r="I102" s="97"/>
    </row>
    <row r="103" ht="15.75" customHeight="1">
      <c r="D103" s="97"/>
      <c r="E103" s="97"/>
      <c r="G103" s="97"/>
      <c r="I103" s="97"/>
    </row>
    <row r="104" ht="15.75" customHeight="1">
      <c r="D104" s="97"/>
      <c r="E104" s="97"/>
      <c r="G104" s="97"/>
      <c r="I104" s="97"/>
    </row>
    <row r="105" ht="15.75" customHeight="1">
      <c r="D105" s="97"/>
      <c r="E105" s="97"/>
      <c r="G105" s="97"/>
      <c r="I105" s="97"/>
    </row>
    <row r="106" ht="15.75" customHeight="1">
      <c r="D106" s="97"/>
      <c r="E106" s="97"/>
      <c r="G106" s="97"/>
      <c r="I106" s="97"/>
    </row>
    <row r="107" ht="15.75" customHeight="1">
      <c r="D107" s="97"/>
      <c r="E107" s="97"/>
      <c r="G107" s="97"/>
      <c r="I107" s="97"/>
    </row>
    <row r="108" ht="15.75" customHeight="1">
      <c r="D108" s="97"/>
      <c r="E108" s="97"/>
      <c r="G108" s="97"/>
      <c r="I108" s="97"/>
    </row>
    <row r="109" ht="15.75" customHeight="1">
      <c r="D109" s="97"/>
      <c r="E109" s="97"/>
      <c r="G109" s="97"/>
      <c r="I109" s="97"/>
    </row>
    <row r="110" ht="15.75" customHeight="1">
      <c r="D110" s="97"/>
      <c r="E110" s="97"/>
      <c r="G110" s="97"/>
      <c r="I110" s="97"/>
    </row>
    <row r="111" ht="15.75" customHeight="1">
      <c r="D111" s="97"/>
      <c r="E111" s="97"/>
      <c r="G111" s="97"/>
      <c r="I111" s="97"/>
    </row>
    <row r="112" ht="15.75" customHeight="1">
      <c r="D112" s="97"/>
      <c r="E112" s="97"/>
      <c r="G112" s="97"/>
      <c r="I112" s="97"/>
    </row>
    <row r="113" ht="15.75" customHeight="1">
      <c r="D113" s="97"/>
      <c r="E113" s="97"/>
      <c r="G113" s="97"/>
      <c r="I113" s="97"/>
    </row>
    <row r="114" ht="15.75" customHeight="1">
      <c r="D114" s="97"/>
      <c r="E114" s="97"/>
      <c r="G114" s="97"/>
      <c r="I114" s="97"/>
    </row>
    <row r="115" ht="15.75" customHeight="1">
      <c r="D115" s="97"/>
      <c r="E115" s="97"/>
      <c r="G115" s="97"/>
      <c r="I115" s="97"/>
    </row>
    <row r="116" ht="15.75" customHeight="1">
      <c r="D116" s="97"/>
      <c r="E116" s="97"/>
      <c r="G116" s="97"/>
      <c r="I116" s="97"/>
    </row>
    <row r="117" ht="15.75" customHeight="1">
      <c r="D117" s="97"/>
      <c r="E117" s="97"/>
      <c r="G117" s="97"/>
      <c r="I117" s="97"/>
    </row>
    <row r="118" ht="15.75" customHeight="1">
      <c r="D118" s="97"/>
      <c r="E118" s="97"/>
      <c r="G118" s="97"/>
      <c r="I118" s="97"/>
    </row>
    <row r="119" ht="15.75" customHeight="1">
      <c r="D119" s="97"/>
      <c r="E119" s="97"/>
      <c r="G119" s="97"/>
      <c r="I119" s="97"/>
    </row>
    <row r="120" ht="15.75" customHeight="1">
      <c r="D120" s="97"/>
      <c r="E120" s="97"/>
      <c r="G120" s="97"/>
      <c r="I120" s="97"/>
    </row>
    <row r="121" ht="15.75" customHeight="1">
      <c r="D121" s="97"/>
      <c r="E121" s="97"/>
      <c r="G121" s="97"/>
      <c r="I121" s="97"/>
    </row>
    <row r="122" ht="15.75" customHeight="1">
      <c r="D122" s="97"/>
      <c r="E122" s="97"/>
      <c r="G122" s="97"/>
      <c r="I122" s="97"/>
    </row>
    <row r="123" ht="15.75" customHeight="1">
      <c r="D123" s="97"/>
      <c r="E123" s="97"/>
      <c r="G123" s="97"/>
      <c r="I123" s="97"/>
    </row>
    <row r="124" ht="15.75" customHeight="1">
      <c r="D124" s="97"/>
      <c r="E124" s="97"/>
      <c r="G124" s="97"/>
      <c r="I124" s="97"/>
    </row>
    <row r="125" ht="15.75" customHeight="1">
      <c r="D125" s="97"/>
      <c r="E125" s="97"/>
      <c r="G125" s="97"/>
      <c r="I125" s="97"/>
    </row>
    <row r="126" ht="15.75" customHeight="1">
      <c r="D126" s="97"/>
      <c r="E126" s="97"/>
      <c r="G126" s="97"/>
      <c r="I126" s="97"/>
    </row>
    <row r="127" ht="15.75" customHeight="1">
      <c r="D127" s="97"/>
      <c r="E127" s="97"/>
      <c r="G127" s="97"/>
      <c r="I127" s="97"/>
    </row>
    <row r="128" ht="15.75" customHeight="1">
      <c r="D128" s="97"/>
      <c r="E128" s="97"/>
      <c r="G128" s="97"/>
      <c r="I128" s="97"/>
    </row>
    <row r="129" ht="15.75" customHeight="1">
      <c r="D129" s="97"/>
      <c r="E129" s="97"/>
      <c r="G129" s="97"/>
      <c r="I129" s="97"/>
    </row>
    <row r="130" ht="15.75" customHeight="1">
      <c r="D130" s="97"/>
      <c r="E130" s="97"/>
      <c r="G130" s="97"/>
      <c r="I130" s="97"/>
    </row>
    <row r="131" ht="15.75" customHeight="1">
      <c r="D131" s="97"/>
      <c r="E131" s="97"/>
      <c r="G131" s="97"/>
      <c r="I131" s="97"/>
    </row>
    <row r="132" ht="15.75" customHeight="1">
      <c r="D132" s="97"/>
      <c r="E132" s="97"/>
      <c r="G132" s="97"/>
      <c r="I132" s="97"/>
    </row>
    <row r="133" ht="15.75" customHeight="1">
      <c r="D133" s="97"/>
      <c r="E133" s="97"/>
      <c r="G133" s="97"/>
      <c r="I133" s="97"/>
    </row>
    <row r="134" ht="15.75" customHeight="1">
      <c r="D134" s="97"/>
      <c r="E134" s="97"/>
      <c r="G134" s="97"/>
      <c r="I134" s="97"/>
    </row>
    <row r="135" ht="15.75" customHeight="1">
      <c r="D135" s="97"/>
      <c r="E135" s="97"/>
      <c r="G135" s="97"/>
      <c r="I135" s="97"/>
    </row>
    <row r="136" ht="15.75" customHeight="1">
      <c r="D136" s="97"/>
      <c r="E136" s="97"/>
      <c r="G136" s="97"/>
      <c r="I136" s="97"/>
    </row>
    <row r="137" ht="15.75" customHeight="1">
      <c r="D137" s="97"/>
      <c r="E137" s="97"/>
      <c r="G137" s="97"/>
      <c r="I137" s="97"/>
    </row>
    <row r="138" ht="15.75" customHeight="1">
      <c r="D138" s="97"/>
      <c r="E138" s="97"/>
      <c r="G138" s="97"/>
      <c r="I138" s="97"/>
    </row>
    <row r="139" ht="15.75" customHeight="1">
      <c r="D139" s="97"/>
      <c r="E139" s="97"/>
      <c r="G139" s="97"/>
      <c r="I139" s="97"/>
    </row>
    <row r="140" ht="15.75" customHeight="1">
      <c r="D140" s="97"/>
      <c r="E140" s="97"/>
      <c r="G140" s="97"/>
      <c r="I140" s="97"/>
    </row>
    <row r="141" ht="15.75" customHeight="1">
      <c r="D141" s="97"/>
      <c r="E141" s="97"/>
      <c r="G141" s="97"/>
      <c r="I141" s="97"/>
    </row>
    <row r="142" ht="15.75" customHeight="1">
      <c r="D142" s="97"/>
      <c r="E142" s="97"/>
      <c r="G142" s="97"/>
      <c r="I142" s="97"/>
    </row>
    <row r="143" ht="15.75" customHeight="1">
      <c r="D143" s="97"/>
      <c r="E143" s="97"/>
      <c r="G143" s="97"/>
      <c r="I143" s="97"/>
    </row>
    <row r="144" ht="15.75" customHeight="1">
      <c r="D144" s="97"/>
      <c r="E144" s="97"/>
      <c r="G144" s="97"/>
      <c r="I144" s="97"/>
    </row>
    <row r="145" ht="15.75" customHeight="1">
      <c r="D145" s="97"/>
      <c r="E145" s="97"/>
      <c r="G145" s="97"/>
      <c r="I145" s="97"/>
    </row>
    <row r="146" ht="15.75" customHeight="1">
      <c r="D146" s="97"/>
      <c r="E146" s="97"/>
      <c r="G146" s="97"/>
      <c r="I146" s="97"/>
    </row>
    <row r="147" ht="15.75" customHeight="1">
      <c r="D147" s="97"/>
      <c r="E147" s="97"/>
      <c r="G147" s="97"/>
      <c r="I147" s="97"/>
    </row>
    <row r="148" ht="15.75" customHeight="1">
      <c r="D148" s="97"/>
      <c r="E148" s="97"/>
      <c r="G148" s="97"/>
      <c r="I148" s="97"/>
    </row>
    <row r="149" ht="15.75" customHeight="1">
      <c r="D149" s="97"/>
      <c r="E149" s="97"/>
      <c r="G149" s="97"/>
      <c r="I149" s="97"/>
    </row>
    <row r="150" ht="15.75" customHeight="1">
      <c r="D150" s="97"/>
      <c r="E150" s="97"/>
      <c r="G150" s="97"/>
      <c r="I150" s="97"/>
    </row>
    <row r="151" ht="15.75" customHeight="1">
      <c r="D151" s="97"/>
      <c r="E151" s="97"/>
      <c r="G151" s="97"/>
      <c r="I151" s="97"/>
    </row>
    <row r="152" ht="15.75" customHeight="1">
      <c r="D152" s="97"/>
      <c r="E152" s="97"/>
      <c r="G152" s="97"/>
      <c r="I152" s="97"/>
    </row>
    <row r="153" ht="15.75" customHeight="1">
      <c r="D153" s="97"/>
      <c r="E153" s="97"/>
      <c r="G153" s="97"/>
      <c r="I153" s="97"/>
    </row>
    <row r="154" ht="15.75" customHeight="1">
      <c r="D154" s="97"/>
      <c r="E154" s="97"/>
      <c r="G154" s="97"/>
      <c r="I154" s="97"/>
    </row>
    <row r="155" ht="15.75" customHeight="1">
      <c r="D155" s="97"/>
      <c r="E155" s="97"/>
      <c r="G155" s="97"/>
      <c r="I155" s="97"/>
    </row>
    <row r="156" ht="15.75" customHeight="1">
      <c r="D156" s="97"/>
      <c r="E156" s="97"/>
      <c r="G156" s="97"/>
      <c r="I156" s="97"/>
    </row>
    <row r="157" ht="15.75" customHeight="1">
      <c r="D157" s="97"/>
      <c r="E157" s="97"/>
      <c r="G157" s="97"/>
      <c r="I157" s="97"/>
    </row>
    <row r="158" ht="15.75" customHeight="1">
      <c r="D158" s="97"/>
      <c r="E158" s="97"/>
      <c r="G158" s="97"/>
      <c r="I158" s="97"/>
    </row>
    <row r="159" ht="15.75" customHeight="1">
      <c r="D159" s="97"/>
      <c r="E159" s="97"/>
      <c r="G159" s="97"/>
      <c r="I159" s="97"/>
    </row>
    <row r="160" ht="15.75" customHeight="1">
      <c r="D160" s="97"/>
      <c r="E160" s="97"/>
      <c r="G160" s="97"/>
      <c r="I160" s="97"/>
    </row>
    <row r="161" ht="15.75" customHeight="1">
      <c r="D161" s="97"/>
      <c r="E161" s="97"/>
      <c r="G161" s="97"/>
      <c r="I161" s="97"/>
    </row>
    <row r="162" ht="15.75" customHeight="1">
      <c r="D162" s="97"/>
      <c r="E162" s="97"/>
      <c r="G162" s="97"/>
      <c r="I162" s="97"/>
    </row>
    <row r="163" ht="15.75" customHeight="1">
      <c r="D163" s="97"/>
      <c r="E163" s="97"/>
      <c r="G163" s="97"/>
      <c r="I163" s="97"/>
    </row>
    <row r="164" ht="15.75" customHeight="1">
      <c r="D164" s="97"/>
      <c r="E164" s="97"/>
      <c r="G164" s="97"/>
      <c r="I164" s="97"/>
    </row>
    <row r="165" ht="15.75" customHeight="1">
      <c r="D165" s="97"/>
      <c r="E165" s="97"/>
      <c r="G165" s="97"/>
      <c r="I165" s="97"/>
    </row>
    <row r="166" ht="15.75" customHeight="1">
      <c r="D166" s="97"/>
      <c r="E166" s="97"/>
      <c r="G166" s="97"/>
      <c r="I166" s="97"/>
    </row>
    <row r="167" ht="15.75" customHeight="1">
      <c r="D167" s="97"/>
      <c r="E167" s="97"/>
      <c r="G167" s="97"/>
      <c r="I167" s="97"/>
    </row>
    <row r="168" ht="15.75" customHeight="1">
      <c r="D168" s="97"/>
      <c r="E168" s="97"/>
      <c r="G168" s="97"/>
      <c r="I168" s="97"/>
    </row>
    <row r="169" ht="15.75" customHeight="1">
      <c r="D169" s="97"/>
      <c r="E169" s="97"/>
      <c r="G169" s="97"/>
      <c r="I169" s="97"/>
    </row>
    <row r="170" ht="15.75" customHeight="1">
      <c r="D170" s="97"/>
      <c r="E170" s="97"/>
      <c r="G170" s="97"/>
      <c r="I170" s="97"/>
    </row>
    <row r="171" ht="15.75" customHeight="1">
      <c r="D171" s="97"/>
      <c r="E171" s="97"/>
      <c r="G171" s="97"/>
      <c r="I171" s="97"/>
    </row>
    <row r="172" ht="15.75" customHeight="1">
      <c r="D172" s="97"/>
      <c r="E172" s="97"/>
      <c r="G172" s="97"/>
      <c r="I172" s="97"/>
    </row>
    <row r="173" ht="15.75" customHeight="1">
      <c r="D173" s="97"/>
      <c r="E173" s="97"/>
      <c r="G173" s="97"/>
      <c r="I173" s="97"/>
    </row>
    <row r="174" ht="15.75" customHeight="1">
      <c r="D174" s="97"/>
      <c r="E174" s="97"/>
      <c r="G174" s="97"/>
      <c r="I174" s="97"/>
    </row>
    <row r="175" ht="15.75" customHeight="1">
      <c r="D175" s="97"/>
      <c r="E175" s="97"/>
      <c r="G175" s="97"/>
      <c r="I175" s="97"/>
    </row>
    <row r="176" ht="15.75" customHeight="1">
      <c r="D176" s="97"/>
      <c r="E176" s="97"/>
      <c r="G176" s="97"/>
      <c r="I176" s="97"/>
    </row>
    <row r="177" ht="15.75" customHeight="1">
      <c r="D177" s="97"/>
      <c r="E177" s="97"/>
      <c r="G177" s="97"/>
      <c r="I177" s="97"/>
    </row>
    <row r="178" ht="15.75" customHeight="1">
      <c r="D178" s="97"/>
      <c r="E178" s="97"/>
      <c r="G178" s="97"/>
      <c r="I178" s="97"/>
    </row>
    <row r="179" ht="15.75" customHeight="1">
      <c r="D179" s="97"/>
      <c r="E179" s="97"/>
      <c r="G179" s="97"/>
      <c r="I179" s="97"/>
    </row>
    <row r="180" ht="15.75" customHeight="1">
      <c r="D180" s="97"/>
      <c r="E180" s="97"/>
      <c r="G180" s="97"/>
      <c r="I180" s="97"/>
    </row>
    <row r="181" ht="15.75" customHeight="1">
      <c r="D181" s="97"/>
      <c r="E181" s="97"/>
      <c r="G181" s="97"/>
      <c r="I181" s="97"/>
    </row>
    <row r="182" ht="15.75" customHeight="1">
      <c r="D182" s="97"/>
      <c r="E182" s="97"/>
      <c r="G182" s="97"/>
      <c r="I182" s="97"/>
    </row>
    <row r="183" ht="15.75" customHeight="1">
      <c r="D183" s="97"/>
      <c r="E183" s="97"/>
      <c r="G183" s="97"/>
      <c r="I183" s="97"/>
    </row>
    <row r="184" ht="15.75" customHeight="1">
      <c r="D184" s="97"/>
      <c r="E184" s="97"/>
      <c r="G184" s="97"/>
      <c r="I184" s="97"/>
    </row>
    <row r="185" ht="15.75" customHeight="1">
      <c r="D185" s="97"/>
      <c r="E185" s="97"/>
      <c r="G185" s="97"/>
      <c r="I185" s="97"/>
    </row>
    <row r="186" ht="15.75" customHeight="1">
      <c r="D186" s="97"/>
      <c r="E186" s="97"/>
      <c r="G186" s="97"/>
      <c r="I186" s="97"/>
    </row>
    <row r="187" ht="15.75" customHeight="1">
      <c r="D187" s="97"/>
      <c r="E187" s="97"/>
      <c r="G187" s="97"/>
      <c r="I187" s="97"/>
    </row>
    <row r="188" ht="15.75" customHeight="1">
      <c r="D188" s="97"/>
      <c r="E188" s="97"/>
      <c r="G188" s="97"/>
      <c r="I188" s="97"/>
    </row>
    <row r="189" ht="15.75" customHeight="1">
      <c r="D189" s="97"/>
      <c r="E189" s="97"/>
      <c r="G189" s="97"/>
      <c r="I189" s="97"/>
    </row>
    <row r="190" ht="15.75" customHeight="1">
      <c r="D190" s="97"/>
      <c r="E190" s="97"/>
      <c r="G190" s="97"/>
      <c r="I190" s="97"/>
    </row>
    <row r="191" ht="15.75" customHeight="1">
      <c r="D191" s="97"/>
      <c r="E191" s="97"/>
      <c r="G191" s="97"/>
      <c r="I191" s="97"/>
    </row>
    <row r="192" ht="15.75" customHeight="1">
      <c r="D192" s="97"/>
      <c r="E192" s="97"/>
      <c r="G192" s="97"/>
      <c r="I192" s="97"/>
    </row>
    <row r="193" ht="15.75" customHeight="1">
      <c r="D193" s="97"/>
      <c r="E193" s="97"/>
      <c r="G193" s="97"/>
      <c r="I193" s="97"/>
    </row>
    <row r="194" ht="15.75" customHeight="1">
      <c r="D194" s="97"/>
      <c r="E194" s="97"/>
      <c r="G194" s="97"/>
      <c r="I194" s="97"/>
    </row>
    <row r="195" ht="15.75" customHeight="1">
      <c r="D195" s="97"/>
      <c r="E195" s="97"/>
      <c r="G195" s="97"/>
      <c r="I195" s="97"/>
    </row>
    <row r="196" ht="15.75" customHeight="1">
      <c r="D196" s="97"/>
      <c r="E196" s="97"/>
      <c r="G196" s="97"/>
      <c r="I196" s="97"/>
    </row>
    <row r="197" ht="15.75" customHeight="1">
      <c r="D197" s="97"/>
      <c r="E197" s="97"/>
      <c r="G197" s="97"/>
      <c r="I197" s="97"/>
    </row>
    <row r="198" ht="15.75" customHeight="1">
      <c r="D198" s="97"/>
      <c r="E198" s="97"/>
      <c r="G198" s="97"/>
      <c r="I198" s="97"/>
    </row>
    <row r="199" ht="15.75" customHeight="1">
      <c r="D199" s="97"/>
      <c r="E199" s="97"/>
      <c r="G199" s="97"/>
      <c r="I199" s="97"/>
    </row>
    <row r="200" ht="15.75" customHeight="1">
      <c r="D200" s="97"/>
      <c r="E200" s="97"/>
      <c r="G200" s="97"/>
      <c r="I200" s="97"/>
    </row>
    <row r="201" ht="15.75" customHeight="1">
      <c r="D201" s="97"/>
      <c r="E201" s="97"/>
      <c r="G201" s="97"/>
      <c r="I201" s="97"/>
    </row>
    <row r="202" ht="15.75" customHeight="1">
      <c r="D202" s="97"/>
      <c r="E202" s="97"/>
      <c r="G202" s="97"/>
      <c r="I202" s="97"/>
    </row>
    <row r="203" ht="15.75" customHeight="1">
      <c r="D203" s="97"/>
      <c r="E203" s="97"/>
      <c r="G203" s="97"/>
      <c r="I203" s="97"/>
    </row>
    <row r="204" ht="15.75" customHeight="1">
      <c r="D204" s="97"/>
      <c r="E204" s="97"/>
      <c r="G204" s="97"/>
      <c r="I204" s="97"/>
    </row>
    <row r="205" ht="15.75" customHeight="1">
      <c r="D205" s="97"/>
      <c r="E205" s="97"/>
      <c r="G205" s="97"/>
      <c r="I205" s="97"/>
    </row>
    <row r="206" ht="15.75" customHeight="1">
      <c r="D206" s="97"/>
      <c r="E206" s="97"/>
      <c r="G206" s="97"/>
      <c r="I206" s="97"/>
    </row>
    <row r="207" ht="15.75" customHeight="1">
      <c r="D207" s="97"/>
      <c r="E207" s="97"/>
      <c r="G207" s="97"/>
      <c r="I207" s="97"/>
    </row>
    <row r="208" ht="15.75" customHeight="1">
      <c r="D208" s="97"/>
      <c r="E208" s="97"/>
      <c r="G208" s="97"/>
      <c r="I208" s="97"/>
    </row>
    <row r="209" ht="15.75" customHeight="1">
      <c r="D209" s="97"/>
      <c r="E209" s="97"/>
      <c r="G209" s="97"/>
      <c r="I209" s="97"/>
    </row>
    <row r="210" ht="15.75" customHeight="1">
      <c r="D210" s="97"/>
      <c r="E210" s="97"/>
      <c r="G210" s="97"/>
      <c r="I210" s="97"/>
    </row>
    <row r="211" ht="15.75" customHeight="1">
      <c r="D211" s="97"/>
      <c r="E211" s="97"/>
      <c r="G211" s="97"/>
      <c r="I211" s="97"/>
    </row>
    <row r="212" ht="15.75" customHeight="1">
      <c r="D212" s="97"/>
      <c r="E212" s="97"/>
      <c r="G212" s="97"/>
      <c r="I212" s="97"/>
    </row>
    <row r="213" ht="15.75" customHeight="1">
      <c r="D213" s="97"/>
      <c r="E213" s="97"/>
      <c r="G213" s="97"/>
      <c r="I213" s="97"/>
    </row>
    <row r="214" ht="15.75" customHeight="1">
      <c r="D214" s="97"/>
      <c r="E214" s="97"/>
      <c r="G214" s="97"/>
      <c r="I214" s="97"/>
    </row>
    <row r="215" ht="15.75" customHeight="1">
      <c r="D215" s="97"/>
      <c r="E215" s="97"/>
      <c r="G215" s="97"/>
      <c r="I215" s="97"/>
    </row>
    <row r="216" ht="15.75" customHeight="1">
      <c r="D216" s="97"/>
      <c r="E216" s="97"/>
      <c r="G216" s="97"/>
      <c r="I216" s="97"/>
    </row>
    <row r="217" ht="15.75" customHeight="1">
      <c r="D217" s="97"/>
      <c r="E217" s="97"/>
      <c r="G217" s="97"/>
      <c r="I217" s="97"/>
    </row>
    <row r="218" ht="15.75" customHeight="1">
      <c r="D218" s="97"/>
      <c r="E218" s="97"/>
      <c r="G218" s="97"/>
      <c r="I218" s="97"/>
    </row>
    <row r="219" ht="15.75" customHeight="1">
      <c r="D219" s="97"/>
      <c r="E219" s="97"/>
      <c r="G219" s="97"/>
      <c r="I219" s="97"/>
    </row>
    <row r="220" ht="15.75" customHeight="1">
      <c r="D220" s="97"/>
      <c r="E220" s="97"/>
      <c r="G220" s="97"/>
      <c r="I220" s="97"/>
    </row>
    <row r="221" ht="15.75" customHeight="1">
      <c r="D221" s="97"/>
      <c r="E221" s="97"/>
      <c r="G221" s="97"/>
      <c r="I221" s="97"/>
    </row>
    <row r="222" ht="15.75" customHeight="1">
      <c r="D222" s="97"/>
      <c r="E222" s="97"/>
      <c r="G222" s="97"/>
      <c r="I222" s="97"/>
    </row>
    <row r="223" ht="15.75" customHeight="1">
      <c r="D223" s="97"/>
      <c r="E223" s="97"/>
      <c r="G223" s="97"/>
      <c r="I223" s="97"/>
    </row>
    <row r="224" ht="15.75" customHeight="1">
      <c r="D224" s="97"/>
      <c r="E224" s="97"/>
      <c r="G224" s="97"/>
      <c r="I224" s="97"/>
    </row>
    <row r="225" ht="15.75" customHeight="1">
      <c r="D225" s="97"/>
      <c r="E225" s="97"/>
      <c r="G225" s="97"/>
      <c r="I225" s="97"/>
    </row>
    <row r="226" ht="15.75" customHeight="1">
      <c r="D226" s="97"/>
      <c r="E226" s="97"/>
      <c r="G226" s="97"/>
      <c r="I226" s="97"/>
    </row>
    <row r="227" ht="15.75" customHeight="1">
      <c r="D227" s="97"/>
      <c r="E227" s="97"/>
      <c r="G227" s="97"/>
      <c r="I227" s="97"/>
    </row>
    <row r="228" ht="15.75" customHeight="1">
      <c r="D228" s="97"/>
      <c r="E228" s="97"/>
      <c r="G228" s="97"/>
      <c r="I228" s="97"/>
    </row>
    <row r="229" ht="15.75" customHeight="1">
      <c r="D229" s="97"/>
      <c r="E229" s="97"/>
      <c r="G229" s="97"/>
      <c r="I229" s="97"/>
    </row>
    <row r="230" ht="15.75" customHeight="1">
      <c r="D230" s="97"/>
      <c r="E230" s="97"/>
      <c r="G230" s="97"/>
      <c r="I230" s="97"/>
    </row>
    <row r="231" ht="15.75" customHeight="1">
      <c r="D231" s="97"/>
      <c r="E231" s="97"/>
      <c r="G231" s="97"/>
      <c r="I231" s="97"/>
    </row>
    <row r="232" ht="15.75" customHeight="1">
      <c r="D232" s="97"/>
      <c r="E232" s="97"/>
      <c r="G232" s="97"/>
      <c r="I232" s="97"/>
    </row>
    <row r="233" ht="15.75" customHeight="1">
      <c r="D233" s="97"/>
      <c r="E233" s="97"/>
      <c r="G233" s="97"/>
      <c r="I233" s="97"/>
    </row>
    <row r="234" ht="15.75" customHeight="1">
      <c r="D234" s="97"/>
      <c r="E234" s="97"/>
      <c r="G234" s="97"/>
      <c r="I234" s="97"/>
    </row>
    <row r="235" ht="15.75" customHeight="1">
      <c r="D235" s="97"/>
      <c r="E235" s="97"/>
      <c r="G235" s="97"/>
      <c r="I235" s="97"/>
    </row>
    <row r="236" ht="15.75" customHeight="1">
      <c r="D236" s="97"/>
      <c r="E236" s="97"/>
      <c r="G236" s="97"/>
      <c r="I236" s="97"/>
    </row>
    <row r="237" ht="15.75" customHeight="1">
      <c r="D237" s="97"/>
      <c r="E237" s="97"/>
      <c r="G237" s="97"/>
      <c r="I237" s="97"/>
    </row>
    <row r="238" ht="15.75" customHeight="1">
      <c r="D238" s="97"/>
      <c r="E238" s="97"/>
      <c r="G238" s="97"/>
      <c r="I238" s="97"/>
    </row>
    <row r="239" ht="15.75" customHeight="1">
      <c r="D239" s="97"/>
      <c r="E239" s="97"/>
      <c r="G239" s="97"/>
      <c r="I239" s="97"/>
    </row>
    <row r="240" ht="15.75" customHeight="1">
      <c r="D240" s="97"/>
      <c r="E240" s="97"/>
      <c r="G240" s="97"/>
      <c r="I240" s="97"/>
    </row>
    <row r="241" ht="15.75" customHeight="1">
      <c r="D241" s="97"/>
      <c r="E241" s="97"/>
      <c r="G241" s="97"/>
      <c r="I241" s="97"/>
    </row>
    <row r="242" ht="15.75" customHeight="1">
      <c r="D242" s="97"/>
      <c r="E242" s="97"/>
      <c r="G242" s="97"/>
      <c r="I242" s="97"/>
    </row>
    <row r="243" ht="15.75" customHeight="1">
      <c r="D243" s="97"/>
      <c r="E243" s="97"/>
      <c r="G243" s="97"/>
      <c r="I243" s="97"/>
    </row>
    <row r="244" ht="15.75" customHeight="1">
      <c r="D244" s="97"/>
      <c r="E244" s="97"/>
      <c r="G244" s="97"/>
      <c r="I244" s="97"/>
    </row>
    <row r="245" ht="15.75" customHeight="1">
      <c r="D245" s="97"/>
      <c r="E245" s="97"/>
      <c r="G245" s="97"/>
      <c r="I245" s="97"/>
    </row>
    <row r="246" ht="15.75" customHeight="1">
      <c r="D246" s="97"/>
      <c r="E246" s="97"/>
      <c r="G246" s="97"/>
      <c r="I246" s="97"/>
    </row>
    <row r="247" ht="15.75" customHeight="1">
      <c r="D247" s="97"/>
      <c r="E247" s="97"/>
      <c r="G247" s="97"/>
      <c r="I247" s="97"/>
    </row>
    <row r="248" ht="15.75" customHeight="1">
      <c r="D248" s="97"/>
      <c r="E248" s="97"/>
      <c r="G248" s="97"/>
      <c r="I248" s="97"/>
    </row>
    <row r="249" ht="15.75" customHeight="1">
      <c r="D249" s="97"/>
      <c r="E249" s="97"/>
      <c r="G249" s="97"/>
      <c r="I249" s="97"/>
    </row>
    <row r="250" ht="15.75" customHeight="1">
      <c r="D250" s="97"/>
      <c r="E250" s="97"/>
      <c r="G250" s="97"/>
      <c r="I250" s="97"/>
    </row>
    <row r="251" ht="15.75" customHeight="1">
      <c r="D251" s="97"/>
      <c r="E251" s="97"/>
      <c r="G251" s="97"/>
      <c r="I251" s="97"/>
    </row>
    <row r="252" ht="15.75" customHeight="1">
      <c r="D252" s="97"/>
      <c r="E252" s="97"/>
      <c r="G252" s="97"/>
      <c r="I252" s="97"/>
    </row>
    <row r="253" ht="15.75" customHeight="1">
      <c r="D253" s="97"/>
      <c r="E253" s="97"/>
      <c r="G253" s="97"/>
      <c r="I253" s="97"/>
    </row>
    <row r="254" ht="15.75" customHeight="1">
      <c r="D254" s="97"/>
      <c r="E254" s="97"/>
      <c r="G254" s="97"/>
      <c r="I254" s="97"/>
    </row>
    <row r="255" ht="15.75" customHeight="1">
      <c r="D255" s="97"/>
      <c r="E255" s="97"/>
      <c r="G255" s="97"/>
      <c r="I255" s="97"/>
    </row>
    <row r="256" ht="15.75" customHeight="1">
      <c r="D256" s="97"/>
      <c r="E256" s="97"/>
      <c r="G256" s="97"/>
      <c r="I256" s="97"/>
    </row>
    <row r="257" ht="15.75" customHeight="1">
      <c r="D257" s="97"/>
      <c r="E257" s="97"/>
      <c r="G257" s="97"/>
      <c r="I257" s="97"/>
    </row>
    <row r="258" ht="15.75" customHeight="1">
      <c r="D258" s="97"/>
      <c r="E258" s="97"/>
      <c r="G258" s="97"/>
      <c r="I258" s="97"/>
    </row>
    <row r="259" ht="15.75" customHeight="1">
      <c r="D259" s="97"/>
      <c r="E259" s="97"/>
      <c r="G259" s="97"/>
      <c r="I259" s="97"/>
    </row>
    <row r="260" ht="15.75" customHeight="1">
      <c r="D260" s="97"/>
      <c r="E260" s="97"/>
      <c r="G260" s="97"/>
      <c r="I260" s="97"/>
    </row>
    <row r="261" ht="15.75" customHeight="1">
      <c r="D261" s="97"/>
      <c r="E261" s="97"/>
      <c r="G261" s="97"/>
      <c r="I261" s="97"/>
    </row>
    <row r="262" ht="15.75" customHeight="1">
      <c r="D262" s="97"/>
      <c r="E262" s="97"/>
      <c r="G262" s="97"/>
      <c r="I262" s="97"/>
    </row>
    <row r="263" ht="15.75" customHeight="1">
      <c r="D263" s="97"/>
      <c r="E263" s="97"/>
      <c r="G263" s="97"/>
      <c r="I263" s="97"/>
    </row>
    <row r="264" ht="15.75" customHeight="1">
      <c r="D264" s="97"/>
      <c r="E264" s="97"/>
      <c r="G264" s="97"/>
      <c r="I264" s="97"/>
    </row>
    <row r="265" ht="15.75" customHeight="1">
      <c r="D265" s="97"/>
      <c r="E265" s="97"/>
      <c r="G265" s="97"/>
      <c r="I265" s="97"/>
    </row>
    <row r="266" ht="15.75" customHeight="1">
      <c r="D266" s="97"/>
      <c r="E266" s="97"/>
      <c r="G266" s="97"/>
      <c r="I266" s="97"/>
    </row>
    <row r="267" ht="15.75" customHeight="1">
      <c r="D267" s="97"/>
      <c r="E267" s="97"/>
      <c r="G267" s="97"/>
      <c r="I267" s="97"/>
    </row>
    <row r="268" ht="15.75" customHeight="1">
      <c r="D268" s="97"/>
      <c r="E268" s="97"/>
      <c r="G268" s="97"/>
      <c r="I268" s="97"/>
    </row>
    <row r="269" ht="15.75" customHeight="1">
      <c r="D269" s="97"/>
      <c r="E269" s="97"/>
      <c r="G269" s="97"/>
      <c r="I269" s="97"/>
    </row>
    <row r="270" ht="15.75" customHeight="1">
      <c r="D270" s="97"/>
      <c r="E270" s="97"/>
      <c r="G270" s="97"/>
      <c r="I270" s="97"/>
    </row>
    <row r="271" ht="15.75" customHeight="1">
      <c r="D271" s="97"/>
      <c r="E271" s="97"/>
      <c r="G271" s="97"/>
      <c r="I271" s="97"/>
    </row>
    <row r="272" ht="15.75" customHeight="1">
      <c r="D272" s="97"/>
      <c r="E272" s="97"/>
      <c r="G272" s="97"/>
      <c r="I272" s="97"/>
    </row>
    <row r="273" ht="15.75" customHeight="1">
      <c r="D273" s="97"/>
      <c r="E273" s="97"/>
      <c r="G273" s="97"/>
      <c r="I273" s="97"/>
    </row>
    <row r="274" ht="15.75" customHeight="1">
      <c r="D274" s="97"/>
      <c r="E274" s="97"/>
      <c r="G274" s="97"/>
      <c r="I274" s="97"/>
    </row>
    <row r="275" ht="15.75" customHeight="1">
      <c r="D275" s="97"/>
      <c r="E275" s="97"/>
      <c r="G275" s="97"/>
      <c r="I275" s="97"/>
    </row>
    <row r="276" ht="15.75" customHeight="1">
      <c r="D276" s="97"/>
      <c r="E276" s="97"/>
      <c r="G276" s="97"/>
      <c r="I276" s="97"/>
    </row>
    <row r="277" ht="15.75" customHeight="1">
      <c r="D277" s="97"/>
      <c r="E277" s="97"/>
      <c r="G277" s="97"/>
      <c r="I277" s="97"/>
    </row>
    <row r="278" ht="15.75" customHeight="1">
      <c r="D278" s="97"/>
      <c r="E278" s="97"/>
      <c r="G278" s="97"/>
      <c r="I278" s="97"/>
    </row>
    <row r="279" ht="15.75" customHeight="1">
      <c r="D279" s="97"/>
      <c r="E279" s="97"/>
      <c r="G279" s="97"/>
      <c r="I279" s="97"/>
    </row>
    <row r="280" ht="15.75" customHeight="1">
      <c r="D280" s="97"/>
      <c r="E280" s="97"/>
      <c r="G280" s="97"/>
      <c r="I280" s="97"/>
    </row>
    <row r="281" ht="15.75" customHeight="1">
      <c r="D281" s="97"/>
      <c r="E281" s="97"/>
      <c r="G281" s="97"/>
      <c r="I281" s="97"/>
    </row>
    <row r="282" ht="15.75" customHeight="1">
      <c r="D282" s="97"/>
      <c r="E282" s="97"/>
      <c r="G282" s="97"/>
      <c r="I282" s="97"/>
    </row>
    <row r="283" ht="15.75" customHeight="1">
      <c r="D283" s="97"/>
      <c r="E283" s="97"/>
      <c r="G283" s="97"/>
      <c r="I283" s="97"/>
    </row>
    <row r="284" ht="15.75" customHeight="1">
      <c r="D284" s="97"/>
      <c r="E284" s="97"/>
      <c r="G284" s="97"/>
      <c r="I284" s="97"/>
    </row>
    <row r="285" ht="15.75" customHeight="1">
      <c r="D285" s="97"/>
      <c r="E285" s="97"/>
      <c r="G285" s="97"/>
      <c r="I285" s="97"/>
    </row>
    <row r="286" ht="15.75" customHeight="1">
      <c r="D286" s="97"/>
      <c r="E286" s="97"/>
      <c r="G286" s="97"/>
      <c r="I286" s="97"/>
    </row>
    <row r="287" ht="15.75" customHeight="1">
      <c r="D287" s="97"/>
      <c r="E287" s="97"/>
      <c r="G287" s="97"/>
      <c r="I287" s="97"/>
    </row>
    <row r="288" ht="15.75" customHeight="1">
      <c r="D288" s="97"/>
      <c r="E288" s="97"/>
      <c r="G288" s="97"/>
      <c r="I288" s="97"/>
    </row>
    <row r="289" ht="15.75" customHeight="1">
      <c r="D289" s="97"/>
      <c r="E289" s="97"/>
      <c r="G289" s="97"/>
      <c r="I289" s="97"/>
    </row>
    <row r="290" ht="15.75" customHeight="1">
      <c r="D290" s="97"/>
      <c r="E290" s="97"/>
      <c r="G290" s="97"/>
      <c r="I290" s="97"/>
    </row>
    <row r="291" ht="15.75" customHeight="1">
      <c r="D291" s="97"/>
      <c r="E291" s="97"/>
      <c r="G291" s="97"/>
      <c r="I291" s="97"/>
    </row>
    <row r="292" ht="15.75" customHeight="1">
      <c r="D292" s="97"/>
      <c r="E292" s="97"/>
      <c r="G292" s="97"/>
      <c r="I292" s="97"/>
    </row>
    <row r="293" ht="15.75" customHeight="1">
      <c r="D293" s="97"/>
      <c r="E293" s="97"/>
      <c r="G293" s="97"/>
      <c r="I293" s="97"/>
    </row>
    <row r="294" ht="15.75" customHeight="1">
      <c r="D294" s="97"/>
      <c r="E294" s="97"/>
      <c r="G294" s="97"/>
      <c r="I294" s="97"/>
    </row>
    <row r="295" ht="15.75" customHeight="1">
      <c r="D295" s="97"/>
      <c r="E295" s="97"/>
      <c r="G295" s="97"/>
      <c r="I295" s="97"/>
    </row>
    <row r="296" ht="15.75" customHeight="1">
      <c r="D296" s="97"/>
      <c r="E296" s="97"/>
      <c r="G296" s="97"/>
      <c r="I296" s="97"/>
    </row>
    <row r="297" ht="15.75" customHeight="1">
      <c r="D297" s="97"/>
      <c r="E297" s="97"/>
      <c r="G297" s="97"/>
      <c r="I297" s="97"/>
    </row>
    <row r="298" ht="15.75" customHeight="1">
      <c r="D298" s="97"/>
      <c r="E298" s="97"/>
      <c r="G298" s="97"/>
      <c r="I298" s="97"/>
    </row>
    <row r="299" ht="15.75" customHeight="1">
      <c r="D299" s="97"/>
      <c r="E299" s="97"/>
      <c r="G299" s="97"/>
      <c r="I299" s="97"/>
    </row>
    <row r="300" ht="15.75" customHeight="1">
      <c r="D300" s="97"/>
      <c r="E300" s="97"/>
      <c r="G300" s="97"/>
      <c r="I300" s="97"/>
    </row>
    <row r="301" ht="15.75" customHeight="1">
      <c r="D301" s="97"/>
      <c r="E301" s="97"/>
      <c r="G301" s="97"/>
      <c r="I301" s="97"/>
    </row>
    <row r="302" ht="15.75" customHeight="1">
      <c r="D302" s="97"/>
      <c r="E302" s="97"/>
      <c r="G302" s="97"/>
      <c r="I302" s="97"/>
    </row>
    <row r="303" ht="15.75" customHeight="1">
      <c r="D303" s="97"/>
      <c r="E303" s="97"/>
      <c r="G303" s="97"/>
      <c r="I303" s="97"/>
    </row>
    <row r="304" ht="15.75" customHeight="1">
      <c r="D304" s="97"/>
      <c r="E304" s="97"/>
      <c r="G304" s="97"/>
      <c r="I304" s="97"/>
    </row>
    <row r="305" ht="15.75" customHeight="1">
      <c r="D305" s="97"/>
      <c r="E305" s="97"/>
      <c r="G305" s="97"/>
      <c r="I305" s="97"/>
    </row>
    <row r="306" ht="15.75" customHeight="1">
      <c r="D306" s="97"/>
      <c r="E306" s="97"/>
      <c r="G306" s="97"/>
      <c r="I306" s="97"/>
    </row>
    <row r="307" ht="15.75" customHeight="1">
      <c r="D307" s="97"/>
      <c r="E307" s="97"/>
      <c r="G307" s="97"/>
      <c r="I307" s="97"/>
    </row>
    <row r="308" ht="15.75" customHeight="1">
      <c r="D308" s="97"/>
      <c r="E308" s="97"/>
      <c r="G308" s="97"/>
      <c r="I308" s="97"/>
    </row>
    <row r="309" ht="15.75" customHeight="1">
      <c r="D309" s="97"/>
      <c r="E309" s="97"/>
      <c r="G309" s="97"/>
      <c r="I309" s="97"/>
    </row>
    <row r="310" ht="15.75" customHeight="1">
      <c r="D310" s="97"/>
      <c r="E310" s="97"/>
      <c r="G310" s="97"/>
      <c r="I310" s="97"/>
    </row>
    <row r="311" ht="15.75" customHeight="1">
      <c r="D311" s="97"/>
      <c r="E311" s="97"/>
      <c r="G311" s="97"/>
      <c r="I311" s="97"/>
    </row>
    <row r="312" ht="15.75" customHeight="1">
      <c r="D312" s="97"/>
      <c r="E312" s="97"/>
      <c r="G312" s="97"/>
      <c r="I312" s="97"/>
    </row>
    <row r="313" ht="15.75" customHeight="1">
      <c r="D313" s="97"/>
      <c r="E313" s="97"/>
      <c r="G313" s="97"/>
      <c r="I313" s="97"/>
    </row>
    <row r="314" ht="15.75" customHeight="1">
      <c r="D314" s="97"/>
      <c r="E314" s="97"/>
      <c r="G314" s="97"/>
      <c r="I314" s="97"/>
    </row>
    <row r="315" ht="15.75" customHeight="1">
      <c r="D315" s="97"/>
      <c r="E315" s="97"/>
      <c r="G315" s="97"/>
      <c r="I315" s="97"/>
    </row>
    <row r="316" ht="15.75" customHeight="1">
      <c r="D316" s="97"/>
      <c r="E316" s="97"/>
      <c r="G316" s="97"/>
      <c r="I316" s="97"/>
    </row>
    <row r="317" ht="15.75" customHeight="1">
      <c r="D317" s="97"/>
      <c r="E317" s="97"/>
      <c r="G317" s="97"/>
      <c r="I317" s="97"/>
    </row>
    <row r="318" ht="15.75" customHeight="1">
      <c r="D318" s="97"/>
      <c r="E318" s="97"/>
      <c r="G318" s="97"/>
      <c r="I318" s="97"/>
    </row>
    <row r="319" ht="15.75" customHeight="1">
      <c r="D319" s="97"/>
      <c r="E319" s="97"/>
      <c r="G319" s="97"/>
      <c r="I319" s="97"/>
    </row>
    <row r="320" ht="15.75" customHeight="1">
      <c r="D320" s="97"/>
      <c r="E320" s="97"/>
      <c r="G320" s="97"/>
      <c r="I320" s="97"/>
    </row>
    <row r="321" ht="15.75" customHeight="1">
      <c r="D321" s="97"/>
      <c r="E321" s="97"/>
      <c r="G321" s="97"/>
      <c r="I321" s="97"/>
    </row>
    <row r="322" ht="15.75" customHeight="1">
      <c r="D322" s="97"/>
      <c r="E322" s="97"/>
      <c r="G322" s="97"/>
      <c r="I322" s="97"/>
    </row>
    <row r="323" ht="15.75" customHeight="1">
      <c r="D323" s="97"/>
      <c r="E323" s="97"/>
      <c r="G323" s="97"/>
      <c r="I323" s="97"/>
    </row>
    <row r="324" ht="15.75" customHeight="1">
      <c r="D324" s="97"/>
      <c r="E324" s="97"/>
      <c r="G324" s="97"/>
      <c r="I324" s="97"/>
    </row>
    <row r="325" ht="15.75" customHeight="1">
      <c r="D325" s="97"/>
      <c r="E325" s="97"/>
      <c r="G325" s="97"/>
      <c r="I325" s="97"/>
    </row>
    <row r="326" ht="15.75" customHeight="1">
      <c r="D326" s="97"/>
      <c r="E326" s="97"/>
      <c r="G326" s="97"/>
      <c r="I326" s="97"/>
    </row>
    <row r="327" ht="15.75" customHeight="1">
      <c r="D327" s="97"/>
      <c r="E327" s="97"/>
      <c r="G327" s="97"/>
      <c r="I327" s="97"/>
    </row>
    <row r="328" ht="15.75" customHeight="1">
      <c r="D328" s="97"/>
      <c r="E328" s="97"/>
      <c r="G328" s="97"/>
      <c r="I328" s="97"/>
    </row>
    <row r="329" ht="15.75" customHeight="1">
      <c r="D329" s="97"/>
      <c r="E329" s="97"/>
      <c r="G329" s="97"/>
      <c r="I329" s="97"/>
    </row>
    <row r="330" ht="15.75" customHeight="1">
      <c r="D330" s="97"/>
      <c r="E330" s="97"/>
      <c r="G330" s="97"/>
      <c r="I330" s="97"/>
    </row>
    <row r="331" ht="15.75" customHeight="1">
      <c r="D331" s="97"/>
      <c r="E331" s="97"/>
      <c r="G331" s="97"/>
      <c r="I331" s="97"/>
    </row>
    <row r="332" ht="15.75" customHeight="1">
      <c r="D332" s="97"/>
      <c r="E332" s="97"/>
      <c r="G332" s="97"/>
      <c r="I332" s="97"/>
    </row>
    <row r="333" ht="15.75" customHeight="1">
      <c r="D333" s="97"/>
      <c r="E333" s="97"/>
      <c r="G333" s="97"/>
      <c r="I333" s="97"/>
    </row>
    <row r="334" ht="15.75" customHeight="1">
      <c r="D334" s="97"/>
      <c r="E334" s="97"/>
      <c r="G334" s="97"/>
      <c r="I334" s="97"/>
    </row>
    <row r="335" ht="15.75" customHeight="1">
      <c r="D335" s="97"/>
      <c r="E335" s="97"/>
      <c r="G335" s="97"/>
      <c r="I335" s="97"/>
    </row>
    <row r="336" ht="15.75" customHeight="1">
      <c r="D336" s="97"/>
      <c r="E336" s="97"/>
      <c r="G336" s="97"/>
      <c r="I336" s="97"/>
    </row>
    <row r="337" ht="15.75" customHeight="1">
      <c r="D337" s="97"/>
      <c r="E337" s="97"/>
      <c r="G337" s="97"/>
      <c r="I337" s="97"/>
    </row>
    <row r="338" ht="15.75" customHeight="1">
      <c r="D338" s="97"/>
      <c r="E338" s="97"/>
      <c r="G338" s="97"/>
      <c r="I338" s="97"/>
    </row>
    <row r="339" ht="15.75" customHeight="1">
      <c r="D339" s="97"/>
      <c r="E339" s="97"/>
      <c r="G339" s="97"/>
      <c r="I339" s="97"/>
    </row>
    <row r="340" ht="15.75" customHeight="1">
      <c r="D340" s="97"/>
      <c r="E340" s="97"/>
      <c r="G340" s="97"/>
      <c r="I340" s="97"/>
    </row>
    <row r="341" ht="15.75" customHeight="1">
      <c r="D341" s="97"/>
      <c r="E341" s="97"/>
      <c r="G341" s="97"/>
      <c r="I341" s="97"/>
    </row>
    <row r="342" ht="15.75" customHeight="1">
      <c r="D342" s="97"/>
      <c r="E342" s="97"/>
      <c r="G342" s="97"/>
      <c r="I342" s="97"/>
    </row>
    <row r="343" ht="15.75" customHeight="1">
      <c r="D343" s="97"/>
      <c r="E343" s="97"/>
      <c r="G343" s="97"/>
      <c r="I343" s="97"/>
    </row>
    <row r="344" ht="15.75" customHeight="1">
      <c r="D344" s="97"/>
      <c r="E344" s="97"/>
      <c r="G344" s="97"/>
      <c r="I344" s="97"/>
    </row>
    <row r="345" ht="15.75" customHeight="1">
      <c r="D345" s="97"/>
      <c r="E345" s="97"/>
      <c r="G345" s="97"/>
      <c r="I345" s="97"/>
    </row>
    <row r="346" ht="15.75" customHeight="1">
      <c r="D346" s="97"/>
      <c r="E346" s="97"/>
      <c r="G346" s="97"/>
      <c r="I346" s="97"/>
    </row>
    <row r="347" ht="15.75" customHeight="1">
      <c r="D347" s="97"/>
      <c r="E347" s="97"/>
      <c r="G347" s="97"/>
      <c r="I347" s="97"/>
    </row>
    <row r="348" ht="15.75" customHeight="1">
      <c r="D348" s="97"/>
      <c r="E348" s="97"/>
      <c r="G348" s="97"/>
      <c r="I348" s="97"/>
    </row>
    <row r="349" ht="15.75" customHeight="1">
      <c r="D349" s="97"/>
      <c r="E349" s="97"/>
      <c r="G349" s="97"/>
      <c r="I349" s="97"/>
    </row>
    <row r="350" ht="15.75" customHeight="1">
      <c r="D350" s="97"/>
      <c r="E350" s="97"/>
      <c r="G350" s="97"/>
      <c r="I350" s="97"/>
    </row>
    <row r="351" ht="15.75" customHeight="1">
      <c r="D351" s="97"/>
      <c r="E351" s="97"/>
      <c r="G351" s="97"/>
      <c r="I351" s="97"/>
    </row>
    <row r="352" ht="15.75" customHeight="1">
      <c r="D352" s="97"/>
      <c r="E352" s="97"/>
      <c r="G352" s="97"/>
      <c r="I352" s="97"/>
    </row>
    <row r="353" ht="15.75" customHeight="1">
      <c r="D353" s="97"/>
      <c r="E353" s="97"/>
      <c r="G353" s="97"/>
      <c r="I353" s="97"/>
    </row>
    <row r="354" ht="15.75" customHeight="1">
      <c r="D354" s="97"/>
      <c r="E354" s="97"/>
      <c r="G354" s="97"/>
      <c r="I354" s="97"/>
    </row>
    <row r="355" ht="15.75" customHeight="1">
      <c r="D355" s="97"/>
      <c r="E355" s="97"/>
      <c r="G355" s="97"/>
      <c r="I355" s="97"/>
    </row>
    <row r="356" ht="15.75" customHeight="1">
      <c r="D356" s="97"/>
      <c r="E356" s="97"/>
      <c r="G356" s="97"/>
      <c r="I356" s="97"/>
    </row>
    <row r="357" ht="15.75" customHeight="1">
      <c r="D357" s="97"/>
      <c r="E357" s="97"/>
      <c r="G357" s="97"/>
      <c r="I357" s="97"/>
    </row>
    <row r="358" ht="15.75" customHeight="1">
      <c r="D358" s="97"/>
      <c r="E358" s="97"/>
      <c r="G358" s="97"/>
      <c r="I358" s="97"/>
    </row>
    <row r="359" ht="15.75" customHeight="1">
      <c r="D359" s="97"/>
      <c r="E359" s="97"/>
      <c r="G359" s="97"/>
      <c r="I359" s="97"/>
    </row>
    <row r="360" ht="15.75" customHeight="1">
      <c r="D360" s="97"/>
      <c r="E360" s="97"/>
      <c r="G360" s="97"/>
      <c r="I360" s="97"/>
    </row>
    <row r="361" ht="15.75" customHeight="1">
      <c r="D361" s="97"/>
      <c r="E361" s="97"/>
      <c r="G361" s="97"/>
      <c r="I361" s="97"/>
    </row>
    <row r="362" ht="15.75" customHeight="1">
      <c r="D362" s="97"/>
      <c r="E362" s="97"/>
      <c r="G362" s="97"/>
      <c r="I362" s="97"/>
    </row>
    <row r="363" ht="15.75" customHeight="1">
      <c r="D363" s="97"/>
      <c r="E363" s="97"/>
      <c r="G363" s="97"/>
      <c r="I363" s="97"/>
    </row>
    <row r="364" ht="15.75" customHeight="1">
      <c r="D364" s="97"/>
      <c r="E364" s="97"/>
      <c r="G364" s="97"/>
      <c r="I364" s="97"/>
    </row>
    <row r="365" ht="15.75" customHeight="1">
      <c r="D365" s="97"/>
      <c r="E365" s="97"/>
      <c r="G365" s="97"/>
      <c r="I365" s="97"/>
    </row>
    <row r="366" ht="15.75" customHeight="1">
      <c r="D366" s="97"/>
      <c r="E366" s="97"/>
      <c r="G366" s="97"/>
      <c r="I366" s="97"/>
    </row>
    <row r="367" ht="15.75" customHeight="1">
      <c r="D367" s="97"/>
      <c r="E367" s="97"/>
      <c r="G367" s="97"/>
      <c r="I367" s="97"/>
    </row>
    <row r="368" ht="15.75" customHeight="1">
      <c r="D368" s="97"/>
      <c r="E368" s="97"/>
      <c r="G368" s="97"/>
      <c r="I368" s="97"/>
    </row>
    <row r="369" ht="15.75" customHeight="1">
      <c r="D369" s="97"/>
      <c r="E369" s="97"/>
      <c r="G369" s="97"/>
      <c r="I369" s="97"/>
    </row>
    <row r="370" ht="15.75" customHeight="1">
      <c r="D370" s="97"/>
      <c r="E370" s="97"/>
      <c r="G370" s="97"/>
      <c r="I370" s="97"/>
    </row>
    <row r="371" ht="15.75" customHeight="1">
      <c r="D371" s="97"/>
      <c r="E371" s="97"/>
      <c r="G371" s="97"/>
      <c r="I371" s="97"/>
    </row>
    <row r="372" ht="15.75" customHeight="1">
      <c r="D372" s="97"/>
      <c r="E372" s="97"/>
      <c r="G372" s="97"/>
      <c r="I372" s="97"/>
    </row>
    <row r="373" ht="15.75" customHeight="1">
      <c r="D373" s="97"/>
      <c r="E373" s="97"/>
      <c r="G373" s="97"/>
      <c r="I373" s="97"/>
    </row>
    <row r="374" ht="15.75" customHeight="1">
      <c r="D374" s="97"/>
      <c r="E374" s="97"/>
      <c r="G374" s="97"/>
      <c r="I374" s="97"/>
    </row>
    <row r="375" ht="15.75" customHeight="1">
      <c r="D375" s="97"/>
      <c r="E375" s="97"/>
      <c r="G375" s="97"/>
      <c r="I375" s="97"/>
    </row>
    <row r="376" ht="15.75" customHeight="1">
      <c r="D376" s="97"/>
      <c r="E376" s="97"/>
      <c r="G376" s="97"/>
      <c r="I376" s="97"/>
    </row>
    <row r="377" ht="15.75" customHeight="1">
      <c r="D377" s="97"/>
      <c r="E377" s="97"/>
      <c r="G377" s="97"/>
      <c r="I377" s="97"/>
    </row>
    <row r="378" ht="15.75" customHeight="1">
      <c r="D378" s="97"/>
      <c r="E378" s="97"/>
      <c r="G378" s="97"/>
      <c r="I378" s="97"/>
    </row>
    <row r="379" ht="15.75" customHeight="1">
      <c r="D379" s="97"/>
      <c r="E379" s="97"/>
      <c r="G379" s="97"/>
      <c r="I379" s="97"/>
    </row>
    <row r="380" ht="15.75" customHeight="1">
      <c r="D380" s="97"/>
      <c r="E380" s="97"/>
      <c r="G380" s="97"/>
      <c r="I380" s="97"/>
    </row>
    <row r="381" ht="15.75" customHeight="1">
      <c r="D381" s="97"/>
      <c r="E381" s="97"/>
      <c r="G381" s="97"/>
      <c r="I381" s="97"/>
    </row>
    <row r="382" ht="15.75" customHeight="1">
      <c r="D382" s="97"/>
      <c r="E382" s="97"/>
      <c r="G382" s="97"/>
      <c r="I382" s="97"/>
    </row>
    <row r="383" ht="15.75" customHeight="1">
      <c r="D383" s="97"/>
      <c r="E383" s="97"/>
      <c r="G383" s="97"/>
      <c r="I383" s="97"/>
    </row>
    <row r="384" ht="15.75" customHeight="1">
      <c r="D384" s="97"/>
      <c r="E384" s="97"/>
      <c r="G384" s="97"/>
      <c r="I384" s="97"/>
    </row>
    <row r="385" ht="15.75" customHeight="1">
      <c r="D385" s="97"/>
      <c r="E385" s="97"/>
      <c r="G385" s="97"/>
      <c r="I385" s="97"/>
    </row>
    <row r="386" ht="15.75" customHeight="1">
      <c r="D386" s="97"/>
      <c r="E386" s="97"/>
      <c r="G386" s="97"/>
      <c r="I386" s="97"/>
    </row>
    <row r="387" ht="15.75" customHeight="1">
      <c r="D387" s="97"/>
      <c r="E387" s="97"/>
      <c r="G387" s="97"/>
      <c r="I387" s="97"/>
    </row>
    <row r="388" ht="15.75" customHeight="1">
      <c r="D388" s="97"/>
      <c r="E388" s="97"/>
      <c r="G388" s="97"/>
      <c r="I388" s="97"/>
    </row>
    <row r="389" ht="15.75" customHeight="1">
      <c r="D389" s="97"/>
      <c r="E389" s="97"/>
      <c r="G389" s="97"/>
      <c r="I389" s="97"/>
    </row>
    <row r="390" ht="15.75" customHeight="1">
      <c r="D390" s="97"/>
      <c r="E390" s="97"/>
      <c r="G390" s="97"/>
      <c r="I390" s="97"/>
    </row>
    <row r="391" ht="15.75" customHeight="1">
      <c r="D391" s="97"/>
      <c r="E391" s="97"/>
      <c r="G391" s="97"/>
      <c r="I391" s="97"/>
    </row>
    <row r="392" ht="15.75" customHeight="1">
      <c r="D392" s="97"/>
      <c r="E392" s="97"/>
      <c r="G392" s="97"/>
      <c r="I392" s="97"/>
    </row>
    <row r="393" ht="15.75" customHeight="1">
      <c r="D393" s="97"/>
      <c r="E393" s="97"/>
      <c r="G393" s="97"/>
      <c r="I393" s="97"/>
    </row>
    <row r="394" ht="15.75" customHeight="1">
      <c r="D394" s="97"/>
      <c r="E394" s="97"/>
      <c r="G394" s="97"/>
      <c r="I394" s="97"/>
    </row>
    <row r="395" ht="15.75" customHeight="1">
      <c r="D395" s="97"/>
      <c r="E395" s="97"/>
      <c r="G395" s="97"/>
      <c r="I395" s="97"/>
    </row>
    <row r="396" ht="15.75" customHeight="1">
      <c r="D396" s="97"/>
      <c r="E396" s="97"/>
      <c r="G396" s="97"/>
      <c r="I396" s="97"/>
    </row>
    <row r="397" ht="15.75" customHeight="1">
      <c r="D397" s="97"/>
      <c r="E397" s="97"/>
      <c r="G397" s="97"/>
      <c r="I397" s="97"/>
    </row>
    <row r="398" ht="15.75" customHeight="1">
      <c r="D398" s="97"/>
      <c r="E398" s="97"/>
      <c r="G398" s="97"/>
      <c r="I398" s="97"/>
    </row>
    <row r="399" ht="15.75" customHeight="1">
      <c r="D399" s="97"/>
      <c r="E399" s="97"/>
      <c r="G399" s="97"/>
      <c r="I399" s="97"/>
    </row>
    <row r="400" ht="15.75" customHeight="1">
      <c r="D400" s="97"/>
      <c r="E400" s="97"/>
      <c r="G400" s="97"/>
      <c r="I400" s="97"/>
    </row>
    <row r="401" ht="15.75" customHeight="1">
      <c r="D401" s="97"/>
      <c r="E401" s="97"/>
      <c r="G401" s="97"/>
      <c r="I401" s="97"/>
    </row>
    <row r="402" ht="15.75" customHeight="1">
      <c r="D402" s="97"/>
      <c r="E402" s="97"/>
      <c r="G402" s="97"/>
      <c r="I402" s="97"/>
    </row>
    <row r="403" ht="15.75" customHeight="1">
      <c r="D403" s="97"/>
      <c r="E403" s="97"/>
      <c r="G403" s="97"/>
      <c r="I403" s="97"/>
    </row>
    <row r="404" ht="15.75" customHeight="1">
      <c r="D404" s="97"/>
      <c r="E404" s="97"/>
      <c r="G404" s="97"/>
      <c r="I404" s="97"/>
    </row>
    <row r="405" ht="15.75" customHeight="1">
      <c r="D405" s="97"/>
      <c r="E405" s="97"/>
      <c r="G405" s="97"/>
      <c r="I405" s="97"/>
    </row>
    <row r="406" ht="15.75" customHeight="1">
      <c r="D406" s="97"/>
      <c r="E406" s="97"/>
      <c r="G406" s="97"/>
      <c r="I406" s="97"/>
    </row>
    <row r="407" ht="15.75" customHeight="1">
      <c r="D407" s="97"/>
      <c r="E407" s="97"/>
      <c r="G407" s="97"/>
      <c r="I407" s="97"/>
    </row>
    <row r="408" ht="15.75" customHeight="1">
      <c r="D408" s="97"/>
      <c r="E408" s="97"/>
      <c r="G408" s="97"/>
      <c r="I408" s="97"/>
    </row>
    <row r="409" ht="15.75" customHeight="1">
      <c r="D409" s="97"/>
      <c r="E409" s="97"/>
      <c r="G409" s="97"/>
      <c r="I409" s="97"/>
    </row>
    <row r="410" ht="15.75" customHeight="1">
      <c r="D410" s="97"/>
      <c r="E410" s="97"/>
      <c r="G410" s="97"/>
      <c r="I410" s="97"/>
    </row>
    <row r="411" ht="15.75" customHeight="1">
      <c r="D411" s="97"/>
      <c r="E411" s="97"/>
      <c r="G411" s="97"/>
      <c r="I411" s="97"/>
    </row>
    <row r="412" ht="15.75" customHeight="1">
      <c r="D412" s="97"/>
      <c r="E412" s="97"/>
      <c r="G412" s="97"/>
      <c r="I412" s="97"/>
    </row>
    <row r="413" ht="15.75" customHeight="1">
      <c r="D413" s="97"/>
      <c r="E413" s="97"/>
      <c r="G413" s="97"/>
      <c r="I413" s="97"/>
    </row>
    <row r="414" ht="15.75" customHeight="1">
      <c r="D414" s="97"/>
      <c r="E414" s="97"/>
      <c r="G414" s="97"/>
      <c r="I414" s="97"/>
    </row>
    <row r="415" ht="15.75" customHeight="1">
      <c r="D415" s="97"/>
      <c r="E415" s="97"/>
      <c r="G415" s="97"/>
      <c r="I415" s="97"/>
    </row>
    <row r="416" ht="15.75" customHeight="1">
      <c r="D416" s="97"/>
      <c r="E416" s="97"/>
      <c r="G416" s="97"/>
      <c r="I416" s="97"/>
    </row>
    <row r="417" ht="15.75" customHeight="1">
      <c r="D417" s="97"/>
      <c r="E417" s="97"/>
      <c r="G417" s="97"/>
      <c r="I417" s="97"/>
    </row>
    <row r="418" ht="15.75" customHeight="1">
      <c r="D418" s="97"/>
      <c r="E418" s="97"/>
      <c r="G418" s="97"/>
      <c r="I418" s="97"/>
    </row>
    <row r="419" ht="15.75" customHeight="1">
      <c r="D419" s="97"/>
      <c r="E419" s="97"/>
      <c r="G419" s="97"/>
      <c r="I419" s="97"/>
    </row>
    <row r="420" ht="15.75" customHeight="1">
      <c r="D420" s="97"/>
      <c r="E420" s="97"/>
      <c r="G420" s="97"/>
      <c r="I420" s="97"/>
    </row>
    <row r="421" ht="15.75" customHeight="1">
      <c r="D421" s="97"/>
      <c r="E421" s="97"/>
      <c r="G421" s="97"/>
      <c r="I421" s="97"/>
    </row>
    <row r="422" ht="15.75" customHeight="1">
      <c r="D422" s="97"/>
      <c r="E422" s="97"/>
      <c r="G422" s="97"/>
      <c r="I422" s="97"/>
    </row>
    <row r="423" ht="15.75" customHeight="1">
      <c r="D423" s="97"/>
      <c r="E423" s="97"/>
      <c r="G423" s="97"/>
      <c r="I423" s="97"/>
    </row>
    <row r="424" ht="15.75" customHeight="1">
      <c r="D424" s="97"/>
      <c r="E424" s="97"/>
      <c r="G424" s="97"/>
      <c r="I424" s="97"/>
    </row>
    <row r="425" ht="15.75" customHeight="1">
      <c r="D425" s="97"/>
      <c r="E425" s="97"/>
      <c r="G425" s="97"/>
      <c r="I425" s="97"/>
    </row>
    <row r="426" ht="15.75" customHeight="1">
      <c r="D426" s="97"/>
      <c r="E426" s="97"/>
      <c r="G426" s="97"/>
      <c r="I426" s="97"/>
    </row>
    <row r="427" ht="15.75" customHeight="1">
      <c r="D427" s="97"/>
      <c r="E427" s="97"/>
      <c r="G427" s="97"/>
      <c r="I427" s="97"/>
    </row>
    <row r="428" ht="15.75" customHeight="1">
      <c r="D428" s="97"/>
      <c r="E428" s="97"/>
      <c r="G428" s="97"/>
      <c r="I428" s="97"/>
    </row>
    <row r="429" ht="15.75" customHeight="1">
      <c r="D429" s="97"/>
      <c r="E429" s="97"/>
      <c r="G429" s="97"/>
      <c r="I429" s="97"/>
    </row>
    <row r="430" ht="15.75" customHeight="1">
      <c r="D430" s="97"/>
      <c r="E430" s="97"/>
      <c r="G430" s="97"/>
      <c r="I430" s="97"/>
    </row>
    <row r="431" ht="15.75" customHeight="1">
      <c r="D431" s="97"/>
      <c r="E431" s="97"/>
      <c r="G431" s="97"/>
      <c r="I431" s="97"/>
    </row>
    <row r="432" ht="15.75" customHeight="1">
      <c r="D432" s="97"/>
      <c r="E432" s="97"/>
      <c r="G432" s="97"/>
      <c r="I432" s="97"/>
    </row>
    <row r="433" ht="15.75" customHeight="1">
      <c r="D433" s="97"/>
      <c r="E433" s="97"/>
      <c r="G433" s="97"/>
      <c r="I433" s="97"/>
    </row>
    <row r="434" ht="15.75" customHeight="1">
      <c r="D434" s="97"/>
      <c r="E434" s="97"/>
      <c r="G434" s="97"/>
      <c r="I434" s="97"/>
    </row>
    <row r="435" ht="15.75" customHeight="1">
      <c r="D435" s="97"/>
      <c r="E435" s="97"/>
      <c r="G435" s="97"/>
      <c r="I435" s="97"/>
    </row>
    <row r="436" ht="15.75" customHeight="1">
      <c r="D436" s="97"/>
      <c r="E436" s="97"/>
      <c r="G436" s="97"/>
      <c r="I436" s="97"/>
    </row>
    <row r="437" ht="15.75" customHeight="1">
      <c r="D437" s="97"/>
      <c r="E437" s="97"/>
      <c r="G437" s="97"/>
      <c r="I437" s="97"/>
    </row>
    <row r="438" ht="15.75" customHeight="1">
      <c r="D438" s="97"/>
      <c r="E438" s="97"/>
      <c r="G438" s="97"/>
      <c r="I438" s="97"/>
    </row>
    <row r="439" ht="15.75" customHeight="1">
      <c r="D439" s="97"/>
      <c r="E439" s="97"/>
      <c r="G439" s="97"/>
      <c r="I439" s="97"/>
    </row>
    <row r="440" ht="15.75" customHeight="1">
      <c r="D440" s="97"/>
      <c r="E440" s="97"/>
      <c r="G440" s="97"/>
      <c r="I440" s="97"/>
    </row>
    <row r="441" ht="15.75" customHeight="1">
      <c r="D441" s="97"/>
      <c r="E441" s="97"/>
      <c r="G441" s="97"/>
      <c r="I441" s="97"/>
    </row>
    <row r="442" ht="15.75" customHeight="1">
      <c r="D442" s="97"/>
      <c r="E442" s="97"/>
      <c r="G442" s="97"/>
      <c r="I442" s="97"/>
    </row>
    <row r="443" ht="15.75" customHeight="1">
      <c r="D443" s="97"/>
      <c r="E443" s="97"/>
      <c r="G443" s="97"/>
      <c r="I443" s="97"/>
    </row>
    <row r="444" ht="15.75" customHeight="1">
      <c r="D444" s="97"/>
      <c r="E444" s="97"/>
      <c r="G444" s="97"/>
      <c r="I444" s="97"/>
    </row>
    <row r="445" ht="15.75" customHeight="1">
      <c r="D445" s="97"/>
      <c r="E445" s="97"/>
      <c r="G445" s="97"/>
      <c r="I445" s="97"/>
    </row>
    <row r="446" ht="15.75" customHeight="1">
      <c r="D446" s="97"/>
      <c r="E446" s="97"/>
      <c r="G446" s="97"/>
      <c r="I446" s="97"/>
    </row>
    <row r="447" ht="15.75" customHeight="1">
      <c r="D447" s="97"/>
      <c r="E447" s="97"/>
      <c r="G447" s="97"/>
      <c r="I447" s="97"/>
    </row>
    <row r="448" ht="15.75" customHeight="1">
      <c r="D448" s="97"/>
      <c r="E448" s="97"/>
      <c r="G448" s="97"/>
      <c r="I448" s="97"/>
    </row>
    <row r="449" ht="15.75" customHeight="1">
      <c r="D449" s="97"/>
      <c r="E449" s="97"/>
      <c r="G449" s="97"/>
      <c r="I449" s="97"/>
    </row>
    <row r="450" ht="15.75" customHeight="1">
      <c r="D450" s="97"/>
      <c r="E450" s="97"/>
      <c r="G450" s="97"/>
      <c r="I450" s="97"/>
    </row>
    <row r="451" ht="15.75" customHeight="1">
      <c r="D451" s="97"/>
      <c r="E451" s="97"/>
      <c r="G451" s="97"/>
      <c r="I451" s="97"/>
    </row>
    <row r="452" ht="15.75" customHeight="1">
      <c r="D452" s="97"/>
      <c r="E452" s="97"/>
      <c r="G452" s="97"/>
      <c r="I452" s="97"/>
    </row>
    <row r="453" ht="15.75" customHeight="1">
      <c r="D453" s="97"/>
      <c r="E453" s="97"/>
      <c r="G453" s="97"/>
      <c r="I453" s="97"/>
    </row>
    <row r="454" ht="15.75" customHeight="1">
      <c r="D454" s="97"/>
      <c r="E454" s="97"/>
      <c r="G454" s="97"/>
      <c r="I454" s="97"/>
    </row>
    <row r="455" ht="15.75" customHeight="1">
      <c r="D455" s="97"/>
      <c r="E455" s="97"/>
      <c r="G455" s="97"/>
      <c r="I455" s="97"/>
    </row>
    <row r="456" ht="15.75" customHeight="1">
      <c r="D456" s="97"/>
      <c r="E456" s="97"/>
      <c r="G456" s="97"/>
      <c r="I456" s="97"/>
    </row>
    <row r="457" ht="15.75" customHeight="1">
      <c r="D457" s="97"/>
      <c r="E457" s="97"/>
      <c r="G457" s="97"/>
      <c r="I457" s="97"/>
    </row>
    <row r="458" ht="15.75" customHeight="1">
      <c r="D458" s="97"/>
      <c r="E458" s="97"/>
      <c r="G458" s="97"/>
      <c r="I458" s="97"/>
    </row>
    <row r="459" ht="15.75" customHeight="1">
      <c r="D459" s="97"/>
      <c r="E459" s="97"/>
      <c r="G459" s="97"/>
      <c r="I459" s="97"/>
    </row>
    <row r="460" ht="15.75" customHeight="1">
      <c r="D460" s="97"/>
      <c r="E460" s="97"/>
      <c r="G460" s="97"/>
      <c r="I460" s="97"/>
    </row>
    <row r="461" ht="15.75" customHeight="1">
      <c r="D461" s="97"/>
      <c r="E461" s="97"/>
      <c r="G461" s="97"/>
      <c r="I461" s="97"/>
    </row>
    <row r="462" ht="15.75" customHeight="1">
      <c r="D462" s="97"/>
      <c r="E462" s="97"/>
      <c r="G462" s="97"/>
      <c r="I462" s="97"/>
    </row>
    <row r="463" ht="15.75" customHeight="1">
      <c r="D463" s="97"/>
      <c r="E463" s="97"/>
      <c r="G463" s="97"/>
      <c r="I463" s="97"/>
    </row>
    <row r="464" ht="15.75" customHeight="1">
      <c r="D464" s="97"/>
      <c r="E464" s="97"/>
      <c r="G464" s="97"/>
      <c r="I464" s="97"/>
    </row>
    <row r="465" ht="15.75" customHeight="1">
      <c r="D465" s="97"/>
      <c r="E465" s="97"/>
      <c r="G465" s="97"/>
      <c r="I465" s="97"/>
    </row>
    <row r="466" ht="15.75" customHeight="1">
      <c r="D466" s="97"/>
      <c r="E466" s="97"/>
      <c r="G466" s="97"/>
      <c r="I466" s="97"/>
    </row>
    <row r="467" ht="15.75" customHeight="1">
      <c r="D467" s="97"/>
      <c r="E467" s="97"/>
      <c r="G467" s="97"/>
      <c r="I467" s="97"/>
    </row>
    <row r="468" ht="15.75" customHeight="1">
      <c r="D468" s="97"/>
      <c r="E468" s="97"/>
      <c r="G468" s="97"/>
      <c r="I468" s="97"/>
    </row>
    <row r="469" ht="15.75" customHeight="1">
      <c r="D469" s="97"/>
      <c r="E469" s="97"/>
      <c r="G469" s="97"/>
      <c r="I469" s="97"/>
    </row>
    <row r="470" ht="15.75" customHeight="1">
      <c r="D470" s="97"/>
      <c r="E470" s="97"/>
      <c r="G470" s="97"/>
      <c r="I470" s="97"/>
    </row>
    <row r="471" ht="15.75" customHeight="1">
      <c r="D471" s="97"/>
      <c r="E471" s="97"/>
      <c r="G471" s="97"/>
      <c r="I471" s="97"/>
    </row>
    <row r="472" ht="15.75" customHeight="1">
      <c r="D472" s="97"/>
      <c r="E472" s="97"/>
      <c r="G472" s="97"/>
      <c r="I472" s="97"/>
    </row>
    <row r="473" ht="15.75" customHeight="1">
      <c r="D473" s="97"/>
      <c r="E473" s="97"/>
      <c r="G473" s="97"/>
      <c r="I473" s="97"/>
    </row>
    <row r="474" ht="15.75" customHeight="1">
      <c r="D474" s="97"/>
      <c r="E474" s="97"/>
      <c r="G474" s="97"/>
      <c r="I474" s="97"/>
    </row>
    <row r="475" ht="15.75" customHeight="1">
      <c r="D475" s="97"/>
      <c r="E475" s="97"/>
      <c r="G475" s="97"/>
      <c r="I475" s="97"/>
    </row>
    <row r="476" ht="15.75" customHeight="1">
      <c r="D476" s="97"/>
      <c r="E476" s="97"/>
      <c r="G476" s="97"/>
      <c r="I476" s="97"/>
    </row>
    <row r="477" ht="15.75" customHeight="1">
      <c r="D477" s="97"/>
      <c r="E477" s="97"/>
      <c r="G477" s="97"/>
      <c r="I477" s="97"/>
    </row>
    <row r="478" ht="15.75" customHeight="1">
      <c r="D478" s="97"/>
      <c r="E478" s="97"/>
      <c r="G478" s="97"/>
      <c r="I478" s="97"/>
    </row>
    <row r="479" ht="15.75" customHeight="1">
      <c r="D479" s="97"/>
      <c r="E479" s="97"/>
      <c r="G479" s="97"/>
      <c r="I479" s="97"/>
    </row>
    <row r="480" ht="15.75" customHeight="1">
      <c r="D480" s="97"/>
      <c r="E480" s="97"/>
      <c r="G480" s="97"/>
      <c r="I480" s="97"/>
    </row>
    <row r="481" ht="15.75" customHeight="1">
      <c r="D481" s="97"/>
      <c r="E481" s="97"/>
      <c r="G481" s="97"/>
      <c r="I481" s="97"/>
    </row>
    <row r="482" ht="15.75" customHeight="1">
      <c r="D482" s="97"/>
      <c r="E482" s="97"/>
      <c r="G482" s="97"/>
      <c r="I482" s="97"/>
    </row>
    <row r="483" ht="15.75" customHeight="1">
      <c r="D483" s="97"/>
      <c r="E483" s="97"/>
      <c r="G483" s="97"/>
      <c r="I483" s="97"/>
    </row>
    <row r="484" ht="15.75" customHeight="1">
      <c r="D484" s="97"/>
      <c r="E484" s="97"/>
      <c r="G484" s="97"/>
      <c r="I484" s="97"/>
    </row>
    <row r="485" ht="15.75" customHeight="1">
      <c r="D485" s="97"/>
      <c r="E485" s="97"/>
      <c r="G485" s="97"/>
      <c r="I485" s="97"/>
    </row>
    <row r="486" ht="15.75" customHeight="1">
      <c r="D486" s="97"/>
      <c r="E486" s="97"/>
      <c r="G486" s="97"/>
      <c r="I486" s="97"/>
    </row>
    <row r="487" ht="15.75" customHeight="1">
      <c r="D487" s="97"/>
      <c r="E487" s="97"/>
      <c r="G487" s="97"/>
      <c r="I487" s="97"/>
    </row>
    <row r="488" ht="15.75" customHeight="1">
      <c r="D488" s="97"/>
      <c r="E488" s="97"/>
      <c r="G488" s="97"/>
      <c r="I488" s="97"/>
    </row>
    <row r="489" ht="15.75" customHeight="1">
      <c r="D489" s="97"/>
      <c r="E489" s="97"/>
      <c r="G489" s="97"/>
      <c r="I489" s="97"/>
    </row>
    <row r="490" ht="15.75" customHeight="1">
      <c r="D490" s="97"/>
      <c r="E490" s="97"/>
      <c r="G490" s="97"/>
      <c r="I490" s="97"/>
    </row>
    <row r="491" ht="15.75" customHeight="1">
      <c r="D491" s="97"/>
      <c r="E491" s="97"/>
      <c r="G491" s="97"/>
      <c r="I491" s="97"/>
    </row>
    <row r="492" ht="15.75" customHeight="1">
      <c r="D492" s="97"/>
      <c r="E492" s="97"/>
      <c r="G492" s="97"/>
      <c r="I492" s="97"/>
    </row>
    <row r="493" ht="15.75" customHeight="1">
      <c r="D493" s="97"/>
      <c r="E493" s="97"/>
      <c r="G493" s="97"/>
      <c r="I493" s="97"/>
    </row>
    <row r="494" ht="15.75" customHeight="1">
      <c r="D494" s="97"/>
      <c r="E494" s="97"/>
      <c r="G494" s="97"/>
      <c r="I494" s="97"/>
    </row>
    <row r="495" ht="15.75" customHeight="1">
      <c r="D495" s="97"/>
      <c r="E495" s="97"/>
      <c r="G495" s="97"/>
      <c r="I495" s="97"/>
    </row>
    <row r="496" ht="15.75" customHeight="1">
      <c r="D496" s="97"/>
      <c r="E496" s="97"/>
      <c r="G496" s="97"/>
      <c r="I496" s="97"/>
    </row>
    <row r="497" ht="15.75" customHeight="1">
      <c r="D497" s="97"/>
      <c r="E497" s="97"/>
      <c r="G497" s="97"/>
      <c r="I497" s="97"/>
    </row>
    <row r="498" ht="15.75" customHeight="1">
      <c r="D498" s="97"/>
      <c r="E498" s="97"/>
      <c r="G498" s="97"/>
      <c r="I498" s="97"/>
    </row>
    <row r="499" ht="15.75" customHeight="1">
      <c r="D499" s="97"/>
      <c r="E499" s="97"/>
      <c r="G499" s="97"/>
      <c r="I499" s="97"/>
    </row>
    <row r="500" ht="15.75" customHeight="1">
      <c r="D500" s="97"/>
      <c r="E500" s="97"/>
      <c r="G500" s="97"/>
      <c r="I500" s="97"/>
    </row>
    <row r="501" ht="15.75" customHeight="1">
      <c r="D501" s="97"/>
      <c r="E501" s="97"/>
      <c r="G501" s="97"/>
      <c r="I501" s="97"/>
    </row>
    <row r="502" ht="15.75" customHeight="1">
      <c r="D502" s="97"/>
      <c r="E502" s="97"/>
      <c r="G502" s="97"/>
      <c r="I502" s="97"/>
    </row>
    <row r="503" ht="15.75" customHeight="1">
      <c r="D503" s="97"/>
      <c r="E503" s="97"/>
      <c r="G503" s="97"/>
      <c r="I503" s="97"/>
    </row>
    <row r="504" ht="15.75" customHeight="1">
      <c r="D504" s="97"/>
      <c r="E504" s="97"/>
      <c r="G504" s="97"/>
      <c r="I504" s="97"/>
    </row>
    <row r="505" ht="15.75" customHeight="1">
      <c r="D505" s="97"/>
      <c r="E505" s="97"/>
      <c r="G505" s="97"/>
      <c r="I505" s="97"/>
    </row>
    <row r="506" ht="15.75" customHeight="1">
      <c r="D506" s="97"/>
      <c r="E506" s="97"/>
      <c r="G506" s="97"/>
      <c r="I506" s="97"/>
    </row>
    <row r="507" ht="15.75" customHeight="1">
      <c r="D507" s="97"/>
      <c r="E507" s="97"/>
      <c r="G507" s="97"/>
      <c r="I507" s="97"/>
    </row>
    <row r="508" ht="15.75" customHeight="1">
      <c r="D508" s="97"/>
      <c r="E508" s="97"/>
      <c r="G508" s="97"/>
      <c r="I508" s="97"/>
    </row>
    <row r="509" ht="15.75" customHeight="1">
      <c r="D509" s="97"/>
      <c r="E509" s="97"/>
      <c r="G509" s="97"/>
      <c r="I509" s="97"/>
    </row>
    <row r="510" ht="15.75" customHeight="1">
      <c r="D510" s="97"/>
      <c r="E510" s="97"/>
      <c r="G510" s="97"/>
      <c r="I510" s="97"/>
    </row>
    <row r="511" ht="15.75" customHeight="1">
      <c r="D511" s="97"/>
      <c r="E511" s="97"/>
      <c r="G511" s="97"/>
      <c r="I511" s="97"/>
    </row>
    <row r="512" ht="15.75" customHeight="1">
      <c r="D512" s="97"/>
      <c r="E512" s="97"/>
      <c r="G512" s="97"/>
      <c r="I512" s="97"/>
    </row>
    <row r="513" ht="15.75" customHeight="1">
      <c r="D513" s="97"/>
      <c r="E513" s="97"/>
      <c r="G513" s="97"/>
      <c r="I513" s="97"/>
    </row>
    <row r="514" ht="15.75" customHeight="1">
      <c r="D514" s="97"/>
      <c r="E514" s="97"/>
      <c r="G514" s="97"/>
      <c r="I514" s="97"/>
    </row>
    <row r="515" ht="15.75" customHeight="1">
      <c r="D515" s="97"/>
      <c r="E515" s="97"/>
      <c r="G515" s="97"/>
      <c r="I515" s="97"/>
    </row>
    <row r="516" ht="15.75" customHeight="1">
      <c r="D516" s="97"/>
      <c r="E516" s="97"/>
      <c r="G516" s="97"/>
      <c r="I516" s="97"/>
    </row>
    <row r="517" ht="15.75" customHeight="1">
      <c r="D517" s="97"/>
      <c r="E517" s="97"/>
      <c r="G517" s="97"/>
      <c r="I517" s="97"/>
    </row>
    <row r="518" ht="15.75" customHeight="1">
      <c r="D518" s="97"/>
      <c r="E518" s="97"/>
      <c r="G518" s="97"/>
      <c r="I518" s="97"/>
    </row>
    <row r="519" ht="15.75" customHeight="1">
      <c r="D519" s="97"/>
      <c r="E519" s="97"/>
      <c r="G519" s="97"/>
      <c r="I519" s="97"/>
    </row>
    <row r="520" ht="15.75" customHeight="1">
      <c r="D520" s="97"/>
      <c r="E520" s="97"/>
      <c r="G520" s="97"/>
      <c r="I520" s="97"/>
    </row>
    <row r="521" ht="15.75" customHeight="1">
      <c r="D521" s="97"/>
      <c r="E521" s="97"/>
      <c r="G521" s="97"/>
      <c r="I521" s="97"/>
    </row>
    <row r="522" ht="15.75" customHeight="1">
      <c r="D522" s="97"/>
      <c r="E522" s="97"/>
      <c r="G522" s="97"/>
      <c r="I522" s="97"/>
    </row>
    <row r="523" ht="15.75" customHeight="1">
      <c r="D523" s="97"/>
      <c r="E523" s="97"/>
      <c r="G523" s="97"/>
      <c r="I523" s="97"/>
    </row>
    <row r="524" ht="15.75" customHeight="1">
      <c r="D524" s="97"/>
      <c r="E524" s="97"/>
      <c r="G524" s="97"/>
      <c r="I524" s="97"/>
    </row>
    <row r="525" ht="15.75" customHeight="1">
      <c r="D525" s="97"/>
      <c r="E525" s="97"/>
      <c r="G525" s="97"/>
      <c r="I525" s="97"/>
    </row>
    <row r="526" ht="15.75" customHeight="1">
      <c r="D526" s="97"/>
      <c r="E526" s="97"/>
      <c r="G526" s="97"/>
      <c r="I526" s="97"/>
    </row>
    <row r="527" ht="15.75" customHeight="1">
      <c r="D527" s="97"/>
      <c r="E527" s="97"/>
      <c r="G527" s="97"/>
      <c r="I527" s="97"/>
    </row>
    <row r="528" ht="15.75" customHeight="1">
      <c r="D528" s="97"/>
      <c r="E528" s="97"/>
      <c r="G528" s="97"/>
      <c r="I528" s="97"/>
    </row>
    <row r="529" ht="15.75" customHeight="1">
      <c r="D529" s="97"/>
      <c r="E529" s="97"/>
      <c r="G529" s="97"/>
      <c r="I529" s="97"/>
    </row>
    <row r="530" ht="15.75" customHeight="1">
      <c r="D530" s="97"/>
      <c r="E530" s="97"/>
      <c r="G530" s="97"/>
      <c r="I530" s="97"/>
    </row>
    <row r="531" ht="15.75" customHeight="1">
      <c r="D531" s="97"/>
      <c r="E531" s="97"/>
      <c r="G531" s="97"/>
      <c r="I531" s="97"/>
    </row>
    <row r="532" ht="15.75" customHeight="1">
      <c r="D532" s="97"/>
      <c r="E532" s="97"/>
      <c r="G532" s="97"/>
      <c r="I532" s="97"/>
    </row>
    <row r="533" ht="15.75" customHeight="1">
      <c r="D533" s="97"/>
      <c r="E533" s="97"/>
      <c r="G533" s="97"/>
      <c r="I533" s="97"/>
    </row>
    <row r="534" ht="15.75" customHeight="1">
      <c r="D534" s="97"/>
      <c r="E534" s="97"/>
      <c r="G534" s="97"/>
      <c r="I534" s="97"/>
    </row>
    <row r="535" ht="15.75" customHeight="1">
      <c r="D535" s="97"/>
      <c r="E535" s="97"/>
      <c r="G535" s="97"/>
      <c r="I535" s="97"/>
    </row>
    <row r="536" ht="15.75" customHeight="1">
      <c r="D536" s="97"/>
      <c r="E536" s="97"/>
      <c r="G536" s="97"/>
      <c r="I536" s="97"/>
    </row>
    <row r="537" ht="15.75" customHeight="1">
      <c r="D537" s="97"/>
      <c r="E537" s="97"/>
      <c r="G537" s="97"/>
      <c r="I537" s="97"/>
    </row>
    <row r="538" ht="15.75" customHeight="1">
      <c r="D538" s="97"/>
      <c r="E538" s="97"/>
      <c r="G538" s="97"/>
      <c r="I538" s="97"/>
    </row>
    <row r="539" ht="15.75" customHeight="1">
      <c r="D539" s="97"/>
      <c r="E539" s="97"/>
      <c r="G539" s="97"/>
      <c r="I539" s="97"/>
    </row>
    <row r="540" ht="15.75" customHeight="1">
      <c r="D540" s="97"/>
      <c r="E540" s="97"/>
      <c r="G540" s="97"/>
      <c r="I540" s="97"/>
    </row>
    <row r="541" ht="15.75" customHeight="1">
      <c r="D541" s="97"/>
      <c r="E541" s="97"/>
      <c r="G541" s="97"/>
      <c r="I541" s="97"/>
    </row>
    <row r="542" ht="15.75" customHeight="1">
      <c r="D542" s="97"/>
      <c r="E542" s="97"/>
      <c r="G542" s="97"/>
      <c r="I542" s="97"/>
    </row>
    <row r="543" ht="15.75" customHeight="1">
      <c r="D543" s="97"/>
      <c r="E543" s="97"/>
      <c r="G543" s="97"/>
      <c r="I543" s="97"/>
    </row>
    <row r="544" ht="15.75" customHeight="1">
      <c r="D544" s="97"/>
      <c r="E544" s="97"/>
      <c r="G544" s="97"/>
      <c r="I544" s="97"/>
    </row>
    <row r="545" ht="15.75" customHeight="1">
      <c r="D545" s="97"/>
      <c r="E545" s="97"/>
      <c r="G545" s="97"/>
      <c r="I545" s="97"/>
    </row>
    <row r="546" ht="15.75" customHeight="1">
      <c r="D546" s="97"/>
      <c r="E546" s="97"/>
      <c r="G546" s="97"/>
      <c r="I546" s="97"/>
    </row>
    <row r="547" ht="15.75" customHeight="1">
      <c r="D547" s="97"/>
      <c r="E547" s="97"/>
      <c r="G547" s="97"/>
      <c r="I547" s="97"/>
    </row>
    <row r="548" ht="15.75" customHeight="1">
      <c r="D548" s="97"/>
      <c r="E548" s="97"/>
      <c r="G548" s="97"/>
      <c r="I548" s="97"/>
    </row>
    <row r="549" ht="15.75" customHeight="1">
      <c r="D549" s="97"/>
      <c r="E549" s="97"/>
      <c r="G549" s="97"/>
      <c r="I549" s="97"/>
    </row>
    <row r="550" ht="15.75" customHeight="1">
      <c r="D550" s="97"/>
      <c r="E550" s="97"/>
      <c r="G550" s="97"/>
      <c r="I550" s="97"/>
    </row>
    <row r="551" ht="15.75" customHeight="1">
      <c r="D551" s="97"/>
      <c r="E551" s="97"/>
      <c r="G551" s="97"/>
      <c r="I551" s="97"/>
    </row>
    <row r="552" ht="15.75" customHeight="1">
      <c r="D552" s="97"/>
      <c r="E552" s="97"/>
      <c r="G552" s="97"/>
      <c r="I552" s="97"/>
    </row>
    <row r="553" ht="15.75" customHeight="1">
      <c r="D553" s="97"/>
      <c r="E553" s="97"/>
      <c r="G553" s="97"/>
      <c r="I553" s="97"/>
    </row>
    <row r="554" ht="15.75" customHeight="1">
      <c r="D554" s="97"/>
      <c r="E554" s="97"/>
      <c r="G554" s="97"/>
      <c r="I554" s="97"/>
    </row>
    <row r="555" ht="15.75" customHeight="1">
      <c r="D555" s="97"/>
      <c r="E555" s="97"/>
      <c r="G555" s="97"/>
      <c r="I555" s="97"/>
    </row>
    <row r="556" ht="15.75" customHeight="1">
      <c r="D556" s="97"/>
      <c r="E556" s="97"/>
      <c r="G556" s="97"/>
      <c r="I556" s="97"/>
    </row>
    <row r="557" ht="15.75" customHeight="1">
      <c r="D557" s="97"/>
      <c r="E557" s="97"/>
      <c r="G557" s="97"/>
      <c r="I557" s="97"/>
    </row>
    <row r="558" ht="15.75" customHeight="1">
      <c r="D558" s="97"/>
      <c r="E558" s="97"/>
      <c r="G558" s="97"/>
      <c r="I558" s="97"/>
    </row>
    <row r="559" ht="15.75" customHeight="1">
      <c r="D559" s="97"/>
      <c r="E559" s="97"/>
      <c r="G559" s="97"/>
      <c r="I559" s="97"/>
    </row>
    <row r="560" ht="15.75" customHeight="1">
      <c r="D560" s="97"/>
      <c r="E560" s="97"/>
      <c r="G560" s="97"/>
      <c r="I560" s="97"/>
    </row>
    <row r="561" ht="15.75" customHeight="1">
      <c r="D561" s="97"/>
      <c r="E561" s="97"/>
      <c r="G561" s="97"/>
      <c r="I561" s="97"/>
    </row>
    <row r="562" ht="15.75" customHeight="1">
      <c r="D562" s="97"/>
      <c r="E562" s="97"/>
      <c r="G562" s="97"/>
      <c r="I562" s="97"/>
    </row>
    <row r="563" ht="15.75" customHeight="1">
      <c r="D563" s="97"/>
      <c r="E563" s="97"/>
      <c r="G563" s="97"/>
      <c r="I563" s="97"/>
    </row>
    <row r="564" ht="15.75" customHeight="1">
      <c r="D564" s="97"/>
      <c r="E564" s="97"/>
      <c r="G564" s="97"/>
      <c r="I564" s="97"/>
    </row>
    <row r="565" ht="15.75" customHeight="1">
      <c r="D565" s="97"/>
      <c r="E565" s="97"/>
      <c r="G565" s="97"/>
      <c r="I565" s="97"/>
    </row>
    <row r="566" ht="15.75" customHeight="1">
      <c r="D566" s="97"/>
      <c r="E566" s="97"/>
      <c r="G566" s="97"/>
      <c r="I566" s="97"/>
    </row>
    <row r="567" ht="15.75" customHeight="1">
      <c r="D567" s="97"/>
      <c r="E567" s="97"/>
      <c r="G567" s="97"/>
      <c r="I567" s="97"/>
    </row>
    <row r="568" ht="15.75" customHeight="1">
      <c r="D568" s="97"/>
      <c r="E568" s="97"/>
      <c r="G568" s="97"/>
      <c r="I568" s="97"/>
    </row>
    <row r="569" ht="15.75" customHeight="1">
      <c r="D569" s="97"/>
      <c r="E569" s="97"/>
      <c r="G569" s="97"/>
      <c r="I569" s="97"/>
    </row>
    <row r="570" ht="15.75" customHeight="1">
      <c r="D570" s="97"/>
      <c r="E570" s="97"/>
      <c r="G570" s="97"/>
      <c r="I570" s="97"/>
    </row>
    <row r="571" ht="15.75" customHeight="1">
      <c r="D571" s="97"/>
      <c r="E571" s="97"/>
      <c r="G571" s="97"/>
      <c r="I571" s="97"/>
    </row>
    <row r="572" ht="15.75" customHeight="1">
      <c r="D572" s="97"/>
      <c r="E572" s="97"/>
      <c r="G572" s="97"/>
      <c r="I572" s="97"/>
    </row>
    <row r="573" ht="15.75" customHeight="1">
      <c r="D573" s="97"/>
      <c r="E573" s="97"/>
      <c r="G573" s="97"/>
      <c r="I573" s="97"/>
    </row>
    <row r="574" ht="15.75" customHeight="1">
      <c r="D574" s="97"/>
      <c r="E574" s="97"/>
      <c r="G574" s="97"/>
      <c r="I574" s="97"/>
    </row>
    <row r="575" ht="15.75" customHeight="1">
      <c r="D575" s="97"/>
      <c r="E575" s="97"/>
      <c r="G575" s="97"/>
      <c r="I575" s="97"/>
    </row>
    <row r="576" ht="15.75" customHeight="1">
      <c r="D576" s="97"/>
      <c r="E576" s="97"/>
      <c r="G576" s="97"/>
      <c r="I576" s="97"/>
    </row>
    <row r="577" ht="15.75" customHeight="1">
      <c r="D577" s="97"/>
      <c r="E577" s="97"/>
      <c r="G577" s="97"/>
      <c r="I577" s="97"/>
    </row>
    <row r="578" ht="15.75" customHeight="1">
      <c r="D578" s="97"/>
      <c r="E578" s="97"/>
      <c r="G578" s="97"/>
      <c r="I578" s="97"/>
    </row>
    <row r="579" ht="15.75" customHeight="1">
      <c r="D579" s="97"/>
      <c r="E579" s="97"/>
      <c r="G579" s="97"/>
      <c r="I579" s="97"/>
    </row>
    <row r="580" ht="15.75" customHeight="1">
      <c r="D580" s="97"/>
      <c r="E580" s="97"/>
      <c r="G580" s="97"/>
      <c r="I580" s="97"/>
    </row>
    <row r="581" ht="15.75" customHeight="1">
      <c r="D581" s="97"/>
      <c r="E581" s="97"/>
      <c r="G581" s="97"/>
      <c r="I581" s="97"/>
    </row>
    <row r="582" ht="15.75" customHeight="1">
      <c r="D582" s="97"/>
      <c r="E582" s="97"/>
      <c r="G582" s="97"/>
      <c r="I582" s="97"/>
    </row>
    <row r="583" ht="15.75" customHeight="1">
      <c r="D583" s="97"/>
      <c r="E583" s="97"/>
      <c r="G583" s="97"/>
      <c r="I583" s="97"/>
    </row>
    <row r="584" ht="15.75" customHeight="1">
      <c r="D584" s="97"/>
      <c r="E584" s="97"/>
      <c r="G584" s="97"/>
      <c r="I584" s="97"/>
    </row>
    <row r="585" ht="15.75" customHeight="1">
      <c r="D585" s="97"/>
      <c r="E585" s="97"/>
      <c r="G585" s="97"/>
      <c r="I585" s="97"/>
    </row>
    <row r="586" ht="15.75" customHeight="1">
      <c r="D586" s="97"/>
      <c r="E586" s="97"/>
      <c r="G586" s="97"/>
      <c r="I586" s="97"/>
    </row>
    <row r="587" ht="15.75" customHeight="1">
      <c r="D587" s="97"/>
      <c r="E587" s="97"/>
      <c r="G587" s="97"/>
      <c r="I587" s="97"/>
    </row>
    <row r="588" ht="15.75" customHeight="1">
      <c r="D588" s="97"/>
      <c r="E588" s="97"/>
      <c r="G588" s="97"/>
      <c r="I588" s="97"/>
    </row>
    <row r="589" ht="15.75" customHeight="1">
      <c r="D589" s="97"/>
      <c r="E589" s="97"/>
      <c r="G589" s="97"/>
      <c r="I589" s="97"/>
    </row>
    <row r="590" ht="15.75" customHeight="1">
      <c r="D590" s="97"/>
      <c r="E590" s="97"/>
      <c r="G590" s="97"/>
      <c r="I590" s="97"/>
    </row>
    <row r="591" ht="15.75" customHeight="1">
      <c r="D591" s="97"/>
      <c r="E591" s="97"/>
      <c r="G591" s="97"/>
      <c r="I591" s="97"/>
    </row>
    <row r="592" ht="15.75" customHeight="1">
      <c r="D592" s="97"/>
      <c r="E592" s="97"/>
      <c r="G592" s="97"/>
      <c r="I592" s="97"/>
    </row>
    <row r="593" ht="15.75" customHeight="1">
      <c r="D593" s="97"/>
      <c r="E593" s="97"/>
      <c r="G593" s="97"/>
      <c r="I593" s="97"/>
    </row>
    <row r="594" ht="15.75" customHeight="1">
      <c r="D594" s="97"/>
      <c r="E594" s="97"/>
      <c r="G594" s="97"/>
      <c r="I594" s="97"/>
    </row>
    <row r="595" ht="15.75" customHeight="1">
      <c r="D595" s="97"/>
      <c r="E595" s="97"/>
      <c r="G595" s="97"/>
      <c r="I595" s="97"/>
    </row>
    <row r="596" ht="15.75" customHeight="1">
      <c r="D596" s="97"/>
      <c r="E596" s="97"/>
      <c r="G596" s="97"/>
      <c r="I596" s="97"/>
    </row>
    <row r="597" ht="15.75" customHeight="1">
      <c r="D597" s="97"/>
      <c r="E597" s="97"/>
      <c r="G597" s="97"/>
      <c r="I597" s="97"/>
    </row>
    <row r="598" ht="15.75" customHeight="1">
      <c r="D598" s="97"/>
      <c r="E598" s="97"/>
      <c r="G598" s="97"/>
      <c r="I598" s="97"/>
    </row>
    <row r="599" ht="15.75" customHeight="1">
      <c r="D599" s="97"/>
      <c r="E599" s="97"/>
      <c r="G599" s="97"/>
      <c r="I599" s="97"/>
    </row>
    <row r="600" ht="15.75" customHeight="1">
      <c r="D600" s="97"/>
      <c r="E600" s="97"/>
      <c r="G600" s="97"/>
      <c r="I600" s="97"/>
    </row>
    <row r="601" ht="15.75" customHeight="1">
      <c r="D601" s="97"/>
      <c r="E601" s="97"/>
      <c r="G601" s="97"/>
      <c r="I601" s="97"/>
    </row>
    <row r="602" ht="15.75" customHeight="1">
      <c r="D602" s="97"/>
      <c r="E602" s="97"/>
      <c r="G602" s="97"/>
      <c r="I602" s="97"/>
    </row>
    <row r="603" ht="15.75" customHeight="1">
      <c r="D603" s="97"/>
      <c r="E603" s="97"/>
      <c r="G603" s="97"/>
      <c r="I603" s="97"/>
    </row>
    <row r="604" ht="15.75" customHeight="1">
      <c r="D604" s="97"/>
      <c r="E604" s="97"/>
      <c r="G604" s="97"/>
      <c r="I604" s="97"/>
    </row>
    <row r="605" ht="15.75" customHeight="1">
      <c r="D605" s="97"/>
      <c r="E605" s="97"/>
      <c r="G605" s="97"/>
      <c r="I605" s="97"/>
    </row>
    <row r="606" ht="15.75" customHeight="1">
      <c r="D606" s="97"/>
      <c r="E606" s="97"/>
      <c r="G606" s="97"/>
      <c r="I606" s="97"/>
    </row>
    <row r="607" ht="15.75" customHeight="1">
      <c r="D607" s="97"/>
      <c r="E607" s="97"/>
      <c r="G607" s="97"/>
      <c r="I607" s="97"/>
    </row>
    <row r="608" ht="15.75" customHeight="1">
      <c r="D608" s="97"/>
      <c r="E608" s="97"/>
      <c r="G608" s="97"/>
      <c r="I608" s="97"/>
    </row>
    <row r="609" ht="15.75" customHeight="1">
      <c r="D609" s="97"/>
      <c r="E609" s="97"/>
      <c r="G609" s="97"/>
      <c r="I609" s="97"/>
    </row>
    <row r="610" ht="15.75" customHeight="1">
      <c r="D610" s="97"/>
      <c r="E610" s="97"/>
      <c r="G610" s="97"/>
      <c r="I610" s="97"/>
    </row>
    <row r="611" ht="15.75" customHeight="1">
      <c r="D611" s="97"/>
      <c r="E611" s="97"/>
      <c r="G611" s="97"/>
      <c r="I611" s="97"/>
    </row>
    <row r="612" ht="15.75" customHeight="1">
      <c r="D612" s="97"/>
      <c r="E612" s="97"/>
      <c r="G612" s="97"/>
      <c r="I612" s="97"/>
    </row>
    <row r="613" ht="15.75" customHeight="1">
      <c r="D613" s="97"/>
      <c r="E613" s="97"/>
      <c r="G613" s="97"/>
      <c r="I613" s="97"/>
    </row>
    <row r="614" ht="15.75" customHeight="1">
      <c r="D614" s="97"/>
      <c r="E614" s="97"/>
      <c r="G614" s="97"/>
      <c r="I614" s="97"/>
    </row>
    <row r="615" ht="15.75" customHeight="1">
      <c r="D615" s="97"/>
      <c r="E615" s="97"/>
      <c r="G615" s="97"/>
      <c r="I615" s="97"/>
    </row>
    <row r="616" ht="15.75" customHeight="1">
      <c r="D616" s="97"/>
      <c r="E616" s="97"/>
      <c r="G616" s="97"/>
      <c r="I616" s="97"/>
    </row>
    <row r="617" ht="15.75" customHeight="1">
      <c r="D617" s="97"/>
      <c r="E617" s="97"/>
      <c r="G617" s="97"/>
      <c r="I617" s="97"/>
    </row>
    <row r="618" ht="15.75" customHeight="1">
      <c r="D618" s="97"/>
      <c r="E618" s="97"/>
      <c r="G618" s="97"/>
      <c r="I618" s="97"/>
    </row>
    <row r="619" ht="15.75" customHeight="1">
      <c r="D619" s="97"/>
      <c r="E619" s="97"/>
      <c r="G619" s="97"/>
      <c r="I619" s="97"/>
    </row>
    <row r="620" ht="15.75" customHeight="1">
      <c r="D620" s="97"/>
      <c r="E620" s="97"/>
      <c r="G620" s="97"/>
      <c r="I620" s="97"/>
    </row>
    <row r="621" ht="15.75" customHeight="1">
      <c r="D621" s="97"/>
      <c r="E621" s="97"/>
      <c r="G621" s="97"/>
      <c r="I621" s="97"/>
    </row>
    <row r="622" ht="15.75" customHeight="1">
      <c r="D622" s="97"/>
      <c r="E622" s="97"/>
      <c r="G622" s="97"/>
      <c r="I622" s="97"/>
    </row>
    <row r="623" ht="15.75" customHeight="1">
      <c r="D623" s="97"/>
      <c r="E623" s="97"/>
      <c r="G623" s="97"/>
      <c r="I623" s="97"/>
    </row>
    <row r="624" ht="15.75" customHeight="1">
      <c r="D624" s="97"/>
      <c r="E624" s="97"/>
      <c r="G624" s="97"/>
      <c r="I624" s="97"/>
    </row>
    <row r="625" ht="15.75" customHeight="1">
      <c r="D625" s="97"/>
      <c r="E625" s="97"/>
      <c r="G625" s="97"/>
      <c r="I625" s="97"/>
    </row>
    <row r="626" ht="15.75" customHeight="1">
      <c r="D626" s="97"/>
      <c r="E626" s="97"/>
      <c r="G626" s="97"/>
      <c r="I626" s="97"/>
    </row>
    <row r="627" ht="15.75" customHeight="1">
      <c r="D627" s="97"/>
      <c r="E627" s="97"/>
      <c r="G627" s="97"/>
      <c r="I627" s="97"/>
    </row>
    <row r="628" ht="15.75" customHeight="1">
      <c r="D628" s="97"/>
      <c r="E628" s="97"/>
      <c r="G628" s="97"/>
      <c r="I628" s="97"/>
    </row>
    <row r="629" ht="15.75" customHeight="1">
      <c r="D629" s="97"/>
      <c r="E629" s="97"/>
      <c r="G629" s="97"/>
      <c r="I629" s="97"/>
    </row>
    <row r="630" ht="15.75" customHeight="1">
      <c r="D630" s="97"/>
      <c r="E630" s="97"/>
      <c r="G630" s="97"/>
      <c r="I630" s="97"/>
    </row>
    <row r="631" ht="15.75" customHeight="1">
      <c r="D631" s="97"/>
      <c r="E631" s="97"/>
      <c r="G631" s="97"/>
      <c r="I631" s="97"/>
    </row>
    <row r="632" ht="15.75" customHeight="1">
      <c r="D632" s="97"/>
      <c r="E632" s="97"/>
      <c r="G632" s="97"/>
      <c r="I632" s="97"/>
    </row>
    <row r="633" ht="15.75" customHeight="1">
      <c r="D633" s="97"/>
      <c r="E633" s="97"/>
      <c r="G633" s="97"/>
      <c r="I633" s="97"/>
    </row>
    <row r="634" ht="15.75" customHeight="1">
      <c r="D634" s="97"/>
      <c r="E634" s="97"/>
      <c r="G634" s="97"/>
      <c r="I634" s="97"/>
    </row>
    <row r="635" ht="15.75" customHeight="1">
      <c r="D635" s="97"/>
      <c r="E635" s="97"/>
      <c r="G635" s="97"/>
      <c r="I635" s="97"/>
    </row>
    <row r="636" ht="15.75" customHeight="1">
      <c r="D636" s="97"/>
      <c r="E636" s="97"/>
      <c r="G636" s="97"/>
      <c r="I636" s="97"/>
    </row>
    <row r="637" ht="15.75" customHeight="1">
      <c r="D637" s="97"/>
      <c r="E637" s="97"/>
      <c r="G637" s="97"/>
      <c r="I637" s="97"/>
    </row>
    <row r="638" ht="15.75" customHeight="1">
      <c r="D638" s="97"/>
      <c r="E638" s="97"/>
      <c r="G638" s="97"/>
      <c r="I638" s="97"/>
    </row>
    <row r="639" ht="15.75" customHeight="1">
      <c r="D639" s="97"/>
      <c r="E639" s="97"/>
      <c r="G639" s="97"/>
      <c r="I639" s="97"/>
    </row>
    <row r="640" ht="15.75" customHeight="1">
      <c r="D640" s="97"/>
      <c r="E640" s="97"/>
      <c r="G640" s="97"/>
      <c r="I640" s="97"/>
    </row>
    <row r="641" ht="15.75" customHeight="1">
      <c r="D641" s="97"/>
      <c r="E641" s="97"/>
      <c r="G641" s="97"/>
      <c r="I641" s="97"/>
    </row>
    <row r="642" ht="15.75" customHeight="1">
      <c r="D642" s="97"/>
      <c r="E642" s="97"/>
      <c r="G642" s="97"/>
      <c r="I642" s="97"/>
    </row>
    <row r="643" ht="15.75" customHeight="1">
      <c r="D643" s="97"/>
      <c r="E643" s="97"/>
      <c r="G643" s="97"/>
      <c r="I643" s="97"/>
    </row>
    <row r="644" ht="15.75" customHeight="1">
      <c r="D644" s="97"/>
      <c r="E644" s="97"/>
      <c r="G644" s="97"/>
      <c r="I644" s="97"/>
    </row>
    <row r="645" ht="15.75" customHeight="1">
      <c r="D645" s="97"/>
      <c r="E645" s="97"/>
      <c r="G645" s="97"/>
      <c r="I645" s="97"/>
    </row>
    <row r="646" ht="15.75" customHeight="1">
      <c r="D646" s="97"/>
      <c r="E646" s="97"/>
      <c r="G646" s="97"/>
      <c r="I646" s="97"/>
    </row>
    <row r="647" ht="15.75" customHeight="1">
      <c r="D647" s="97"/>
      <c r="E647" s="97"/>
      <c r="G647" s="97"/>
      <c r="I647" s="97"/>
    </row>
    <row r="648" ht="15.75" customHeight="1">
      <c r="D648" s="97"/>
      <c r="E648" s="97"/>
      <c r="G648" s="97"/>
      <c r="I648" s="97"/>
    </row>
    <row r="649" ht="15.75" customHeight="1">
      <c r="D649" s="97"/>
      <c r="E649" s="97"/>
      <c r="G649" s="97"/>
      <c r="I649" s="97"/>
    </row>
    <row r="650" ht="15.75" customHeight="1">
      <c r="D650" s="97"/>
      <c r="E650" s="97"/>
      <c r="G650" s="97"/>
      <c r="I650" s="97"/>
    </row>
    <row r="651" ht="15.75" customHeight="1">
      <c r="D651" s="97"/>
      <c r="E651" s="97"/>
      <c r="G651" s="97"/>
      <c r="I651" s="97"/>
    </row>
    <row r="652" ht="15.75" customHeight="1">
      <c r="D652" s="97"/>
      <c r="E652" s="97"/>
      <c r="G652" s="97"/>
      <c r="I652" s="97"/>
    </row>
    <row r="653" ht="15.75" customHeight="1">
      <c r="D653" s="97"/>
      <c r="E653" s="97"/>
      <c r="G653" s="97"/>
      <c r="I653" s="97"/>
    </row>
    <row r="654" ht="15.75" customHeight="1">
      <c r="D654" s="97"/>
      <c r="E654" s="97"/>
      <c r="G654" s="97"/>
      <c r="I654" s="97"/>
    </row>
    <row r="655" ht="15.75" customHeight="1">
      <c r="D655" s="97"/>
      <c r="E655" s="97"/>
      <c r="G655" s="97"/>
      <c r="I655" s="97"/>
    </row>
    <row r="656" ht="15.75" customHeight="1">
      <c r="D656" s="97"/>
      <c r="E656" s="97"/>
      <c r="G656" s="97"/>
      <c r="I656" s="97"/>
    </row>
    <row r="657" ht="15.75" customHeight="1">
      <c r="D657" s="97"/>
      <c r="E657" s="97"/>
      <c r="G657" s="97"/>
      <c r="I657" s="97"/>
    </row>
    <row r="658" ht="15.75" customHeight="1">
      <c r="D658" s="97"/>
      <c r="E658" s="97"/>
      <c r="G658" s="97"/>
      <c r="I658" s="97"/>
    </row>
    <row r="659" ht="15.75" customHeight="1">
      <c r="D659" s="97"/>
      <c r="E659" s="97"/>
      <c r="G659" s="97"/>
      <c r="I659" s="97"/>
    </row>
    <row r="660" ht="15.75" customHeight="1">
      <c r="D660" s="97"/>
      <c r="E660" s="97"/>
      <c r="G660" s="97"/>
      <c r="I660" s="97"/>
    </row>
    <row r="661" ht="15.75" customHeight="1">
      <c r="D661" s="97"/>
      <c r="E661" s="97"/>
      <c r="G661" s="97"/>
      <c r="I661" s="97"/>
    </row>
    <row r="662" ht="15.75" customHeight="1">
      <c r="D662" s="97"/>
      <c r="E662" s="97"/>
      <c r="G662" s="97"/>
      <c r="I662" s="97"/>
    </row>
    <row r="663" ht="15.75" customHeight="1">
      <c r="D663" s="97"/>
      <c r="E663" s="97"/>
      <c r="G663" s="97"/>
      <c r="I663" s="97"/>
    </row>
    <row r="664" ht="15.75" customHeight="1">
      <c r="D664" s="97"/>
      <c r="E664" s="97"/>
      <c r="G664" s="97"/>
      <c r="I664" s="97"/>
    </row>
    <row r="665" ht="15.75" customHeight="1">
      <c r="D665" s="97"/>
      <c r="E665" s="97"/>
      <c r="G665" s="97"/>
      <c r="I665" s="97"/>
    </row>
    <row r="666" ht="15.75" customHeight="1">
      <c r="D666" s="97"/>
      <c r="E666" s="97"/>
      <c r="G666" s="97"/>
      <c r="I666" s="97"/>
    </row>
    <row r="667" ht="15.75" customHeight="1">
      <c r="D667" s="97"/>
      <c r="E667" s="97"/>
      <c r="G667" s="97"/>
      <c r="I667" s="97"/>
    </row>
    <row r="668" ht="15.75" customHeight="1">
      <c r="D668" s="97"/>
      <c r="E668" s="97"/>
      <c r="G668" s="97"/>
      <c r="I668" s="97"/>
    </row>
    <row r="669" ht="15.75" customHeight="1">
      <c r="D669" s="97"/>
      <c r="E669" s="97"/>
      <c r="G669" s="97"/>
      <c r="I669" s="97"/>
    </row>
    <row r="670" ht="15.75" customHeight="1">
      <c r="D670" s="97"/>
      <c r="E670" s="97"/>
      <c r="G670" s="97"/>
      <c r="I670" s="97"/>
    </row>
    <row r="671" ht="15.75" customHeight="1">
      <c r="D671" s="97"/>
      <c r="E671" s="97"/>
      <c r="G671" s="97"/>
      <c r="I671" s="97"/>
    </row>
    <row r="672" ht="15.75" customHeight="1">
      <c r="D672" s="97"/>
      <c r="E672" s="97"/>
      <c r="G672" s="97"/>
      <c r="I672" s="97"/>
    </row>
    <row r="673" ht="15.75" customHeight="1">
      <c r="D673" s="97"/>
      <c r="E673" s="97"/>
      <c r="G673" s="97"/>
      <c r="I673" s="97"/>
    </row>
    <row r="674" ht="15.75" customHeight="1">
      <c r="D674" s="97"/>
      <c r="E674" s="97"/>
      <c r="G674" s="97"/>
      <c r="I674" s="97"/>
    </row>
    <row r="675" ht="15.75" customHeight="1">
      <c r="D675" s="97"/>
      <c r="E675" s="97"/>
      <c r="G675" s="97"/>
      <c r="I675" s="97"/>
    </row>
    <row r="676" ht="15.75" customHeight="1">
      <c r="D676" s="97"/>
      <c r="E676" s="97"/>
      <c r="G676" s="97"/>
      <c r="I676" s="97"/>
    </row>
    <row r="677" ht="15.75" customHeight="1">
      <c r="D677" s="97"/>
      <c r="E677" s="97"/>
      <c r="G677" s="97"/>
      <c r="I677" s="97"/>
    </row>
    <row r="678" ht="15.75" customHeight="1">
      <c r="D678" s="97"/>
      <c r="E678" s="97"/>
      <c r="G678" s="97"/>
      <c r="I678" s="97"/>
    </row>
    <row r="679" ht="15.75" customHeight="1">
      <c r="D679" s="97"/>
      <c r="E679" s="97"/>
      <c r="G679" s="97"/>
      <c r="I679" s="97"/>
    </row>
    <row r="680" ht="15.75" customHeight="1">
      <c r="D680" s="97"/>
      <c r="E680" s="97"/>
      <c r="G680" s="97"/>
      <c r="I680" s="97"/>
    </row>
    <row r="681" ht="15.75" customHeight="1">
      <c r="D681" s="97"/>
      <c r="E681" s="97"/>
      <c r="G681" s="97"/>
      <c r="I681" s="97"/>
    </row>
    <row r="682" ht="15.75" customHeight="1">
      <c r="D682" s="97"/>
      <c r="E682" s="97"/>
      <c r="G682" s="97"/>
      <c r="I682" s="97"/>
    </row>
    <row r="683" ht="15.75" customHeight="1">
      <c r="D683" s="97"/>
      <c r="E683" s="97"/>
      <c r="G683" s="97"/>
      <c r="I683" s="97"/>
    </row>
    <row r="684" ht="15.75" customHeight="1">
      <c r="D684" s="97"/>
      <c r="E684" s="97"/>
      <c r="G684" s="97"/>
      <c r="I684" s="97"/>
    </row>
    <row r="685" ht="15.75" customHeight="1">
      <c r="D685" s="97"/>
      <c r="E685" s="97"/>
      <c r="G685" s="97"/>
      <c r="I685" s="97"/>
    </row>
    <row r="686" ht="15.75" customHeight="1">
      <c r="D686" s="97"/>
      <c r="E686" s="97"/>
      <c r="G686" s="97"/>
      <c r="I686" s="97"/>
    </row>
    <row r="687" ht="15.75" customHeight="1">
      <c r="D687" s="97"/>
      <c r="E687" s="97"/>
      <c r="G687" s="97"/>
      <c r="I687" s="97"/>
    </row>
    <row r="688" ht="15.75" customHeight="1">
      <c r="D688" s="97"/>
      <c r="E688" s="97"/>
      <c r="G688" s="97"/>
      <c r="I688" s="97"/>
    </row>
    <row r="689" ht="15.75" customHeight="1">
      <c r="D689" s="97"/>
      <c r="E689" s="97"/>
      <c r="G689" s="97"/>
      <c r="I689" s="97"/>
    </row>
    <row r="690" ht="15.75" customHeight="1">
      <c r="D690" s="97"/>
      <c r="E690" s="97"/>
      <c r="G690" s="97"/>
      <c r="I690" s="97"/>
    </row>
    <row r="691" ht="15.75" customHeight="1">
      <c r="D691" s="97"/>
      <c r="E691" s="97"/>
      <c r="G691" s="97"/>
      <c r="I691" s="97"/>
    </row>
    <row r="692" ht="15.75" customHeight="1">
      <c r="D692" s="97"/>
      <c r="E692" s="97"/>
      <c r="G692" s="97"/>
      <c r="I692" s="97"/>
    </row>
    <row r="693" ht="15.75" customHeight="1">
      <c r="D693" s="97"/>
      <c r="E693" s="97"/>
      <c r="G693" s="97"/>
      <c r="I693" s="97"/>
    </row>
    <row r="694" ht="15.75" customHeight="1">
      <c r="D694" s="97"/>
      <c r="E694" s="97"/>
      <c r="G694" s="97"/>
      <c r="I694" s="97"/>
    </row>
    <row r="695" ht="15.75" customHeight="1">
      <c r="D695" s="97"/>
      <c r="E695" s="97"/>
      <c r="G695" s="97"/>
      <c r="I695" s="97"/>
    </row>
    <row r="696" ht="15.75" customHeight="1">
      <c r="D696" s="97"/>
      <c r="E696" s="97"/>
      <c r="G696" s="97"/>
      <c r="I696" s="97"/>
    </row>
    <row r="697" ht="15.75" customHeight="1">
      <c r="D697" s="97"/>
      <c r="E697" s="97"/>
      <c r="G697" s="97"/>
      <c r="I697" s="97"/>
    </row>
    <row r="698" ht="15.75" customHeight="1">
      <c r="D698" s="97"/>
      <c r="E698" s="97"/>
      <c r="G698" s="97"/>
      <c r="I698" s="97"/>
    </row>
    <row r="699" ht="15.75" customHeight="1">
      <c r="D699" s="97"/>
      <c r="E699" s="97"/>
      <c r="G699" s="97"/>
      <c r="I699" s="97"/>
    </row>
    <row r="700" ht="15.75" customHeight="1">
      <c r="D700" s="97"/>
      <c r="E700" s="97"/>
      <c r="G700" s="97"/>
      <c r="I700" s="97"/>
    </row>
    <row r="701" ht="15.75" customHeight="1">
      <c r="D701" s="97"/>
      <c r="E701" s="97"/>
      <c r="G701" s="97"/>
      <c r="I701" s="97"/>
    </row>
    <row r="702" ht="15.75" customHeight="1">
      <c r="D702" s="97"/>
      <c r="E702" s="97"/>
      <c r="G702" s="97"/>
      <c r="I702" s="97"/>
    </row>
    <row r="703" ht="15.75" customHeight="1">
      <c r="D703" s="97"/>
      <c r="E703" s="97"/>
      <c r="G703" s="97"/>
      <c r="I703" s="97"/>
    </row>
    <row r="704" ht="15.75" customHeight="1">
      <c r="D704" s="97"/>
      <c r="E704" s="97"/>
      <c r="G704" s="97"/>
      <c r="I704" s="97"/>
    </row>
    <row r="705" ht="15.75" customHeight="1">
      <c r="D705" s="97"/>
      <c r="E705" s="97"/>
      <c r="G705" s="97"/>
      <c r="I705" s="97"/>
    </row>
    <row r="706" ht="15.75" customHeight="1">
      <c r="D706" s="97"/>
      <c r="E706" s="97"/>
      <c r="G706" s="97"/>
      <c r="I706" s="97"/>
    </row>
    <row r="707" ht="15.75" customHeight="1">
      <c r="D707" s="97"/>
      <c r="E707" s="97"/>
      <c r="G707" s="97"/>
      <c r="I707" s="97"/>
    </row>
    <row r="708" ht="15.75" customHeight="1">
      <c r="D708" s="97"/>
      <c r="E708" s="97"/>
      <c r="G708" s="97"/>
      <c r="I708" s="97"/>
    </row>
    <row r="709" ht="15.75" customHeight="1">
      <c r="D709" s="97"/>
      <c r="E709" s="97"/>
      <c r="G709" s="97"/>
      <c r="I709" s="97"/>
    </row>
    <row r="710" ht="15.75" customHeight="1">
      <c r="D710" s="97"/>
      <c r="E710" s="97"/>
      <c r="G710" s="97"/>
      <c r="I710" s="97"/>
    </row>
    <row r="711" ht="15.75" customHeight="1">
      <c r="D711" s="97"/>
      <c r="E711" s="97"/>
      <c r="G711" s="97"/>
      <c r="I711" s="97"/>
    </row>
    <row r="712" ht="15.75" customHeight="1">
      <c r="D712" s="97"/>
      <c r="E712" s="97"/>
      <c r="G712" s="97"/>
      <c r="I712" s="97"/>
    </row>
    <row r="713" ht="15.75" customHeight="1">
      <c r="D713" s="97"/>
      <c r="E713" s="97"/>
      <c r="G713" s="97"/>
      <c r="I713" s="97"/>
    </row>
    <row r="714" ht="15.75" customHeight="1">
      <c r="D714" s="97"/>
      <c r="E714" s="97"/>
      <c r="G714" s="97"/>
      <c r="I714" s="97"/>
    </row>
    <row r="715" ht="15.75" customHeight="1">
      <c r="D715" s="97"/>
      <c r="E715" s="97"/>
      <c r="G715" s="97"/>
      <c r="I715" s="97"/>
    </row>
    <row r="716" ht="15.75" customHeight="1">
      <c r="D716" s="97"/>
      <c r="E716" s="97"/>
      <c r="G716" s="97"/>
      <c r="I716" s="97"/>
    </row>
    <row r="717" ht="15.75" customHeight="1">
      <c r="D717" s="97"/>
      <c r="E717" s="97"/>
      <c r="G717" s="97"/>
      <c r="I717" s="97"/>
    </row>
    <row r="718" ht="15.75" customHeight="1">
      <c r="D718" s="97"/>
      <c r="E718" s="97"/>
      <c r="G718" s="97"/>
      <c r="I718" s="97"/>
    </row>
    <row r="719" ht="15.75" customHeight="1">
      <c r="D719" s="97"/>
      <c r="E719" s="97"/>
      <c r="G719" s="97"/>
      <c r="I719" s="97"/>
    </row>
    <row r="720" ht="15.75" customHeight="1">
      <c r="D720" s="97"/>
      <c r="E720" s="97"/>
      <c r="G720" s="97"/>
      <c r="I720" s="97"/>
    </row>
    <row r="721" ht="15.75" customHeight="1">
      <c r="D721" s="97"/>
      <c r="E721" s="97"/>
      <c r="G721" s="97"/>
      <c r="I721" s="97"/>
    </row>
    <row r="722" ht="15.75" customHeight="1">
      <c r="D722" s="97"/>
      <c r="E722" s="97"/>
      <c r="G722" s="97"/>
      <c r="I722" s="97"/>
    </row>
    <row r="723" ht="15.75" customHeight="1">
      <c r="D723" s="97"/>
      <c r="E723" s="97"/>
      <c r="G723" s="97"/>
      <c r="I723" s="97"/>
    </row>
    <row r="724" ht="15.75" customHeight="1">
      <c r="D724" s="97"/>
      <c r="E724" s="97"/>
      <c r="G724" s="97"/>
      <c r="I724" s="97"/>
    </row>
    <row r="725" ht="15.75" customHeight="1">
      <c r="D725" s="97"/>
      <c r="E725" s="97"/>
      <c r="G725" s="97"/>
      <c r="I725" s="97"/>
    </row>
    <row r="726" ht="15.75" customHeight="1">
      <c r="D726" s="97"/>
      <c r="E726" s="97"/>
      <c r="G726" s="97"/>
      <c r="I726" s="97"/>
    </row>
    <row r="727" ht="15.75" customHeight="1">
      <c r="D727" s="97"/>
      <c r="E727" s="97"/>
      <c r="G727" s="97"/>
      <c r="I727" s="97"/>
    </row>
    <row r="728" ht="15.75" customHeight="1">
      <c r="D728" s="97"/>
      <c r="E728" s="97"/>
      <c r="G728" s="97"/>
      <c r="I728" s="97"/>
    </row>
    <row r="729" ht="15.75" customHeight="1">
      <c r="D729" s="97"/>
      <c r="E729" s="97"/>
      <c r="G729" s="97"/>
      <c r="I729" s="97"/>
    </row>
    <row r="730" ht="15.75" customHeight="1">
      <c r="D730" s="97"/>
      <c r="E730" s="97"/>
      <c r="G730" s="97"/>
      <c r="I730" s="97"/>
    </row>
    <row r="731" ht="15.75" customHeight="1">
      <c r="D731" s="97"/>
      <c r="E731" s="97"/>
      <c r="G731" s="97"/>
      <c r="I731" s="97"/>
    </row>
    <row r="732" ht="15.75" customHeight="1">
      <c r="D732" s="97"/>
      <c r="E732" s="97"/>
      <c r="G732" s="97"/>
      <c r="I732" s="97"/>
    </row>
    <row r="733" ht="15.75" customHeight="1">
      <c r="D733" s="97"/>
      <c r="E733" s="97"/>
      <c r="G733" s="97"/>
      <c r="I733" s="97"/>
    </row>
    <row r="734" ht="15.75" customHeight="1">
      <c r="D734" s="97"/>
      <c r="E734" s="97"/>
      <c r="G734" s="97"/>
      <c r="I734" s="97"/>
    </row>
    <row r="735" ht="15.75" customHeight="1">
      <c r="D735" s="97"/>
      <c r="E735" s="97"/>
      <c r="G735" s="97"/>
      <c r="I735" s="97"/>
    </row>
    <row r="736" ht="15.75" customHeight="1">
      <c r="D736" s="97"/>
      <c r="E736" s="97"/>
      <c r="G736" s="97"/>
      <c r="I736" s="97"/>
    </row>
    <row r="737" ht="15.75" customHeight="1">
      <c r="D737" s="97"/>
      <c r="E737" s="97"/>
      <c r="G737" s="97"/>
      <c r="I737" s="97"/>
    </row>
    <row r="738" ht="15.75" customHeight="1">
      <c r="D738" s="97"/>
      <c r="E738" s="97"/>
      <c r="G738" s="97"/>
      <c r="I738" s="97"/>
    </row>
    <row r="739" ht="15.75" customHeight="1">
      <c r="D739" s="97"/>
      <c r="E739" s="97"/>
      <c r="G739" s="97"/>
      <c r="I739" s="97"/>
    </row>
    <row r="740" ht="15.75" customHeight="1">
      <c r="D740" s="97"/>
      <c r="E740" s="97"/>
      <c r="G740" s="97"/>
      <c r="I740" s="97"/>
    </row>
    <row r="741" ht="15.75" customHeight="1">
      <c r="D741" s="97"/>
      <c r="E741" s="97"/>
      <c r="G741" s="97"/>
      <c r="I741" s="97"/>
    </row>
    <row r="742" ht="15.75" customHeight="1">
      <c r="D742" s="97"/>
      <c r="E742" s="97"/>
      <c r="G742" s="97"/>
      <c r="I742" s="97"/>
    </row>
    <row r="743" ht="15.75" customHeight="1">
      <c r="D743" s="97"/>
      <c r="E743" s="97"/>
      <c r="G743" s="97"/>
      <c r="I743" s="97"/>
    </row>
    <row r="744" ht="15.75" customHeight="1">
      <c r="D744" s="97"/>
      <c r="E744" s="97"/>
      <c r="G744" s="97"/>
      <c r="I744" s="97"/>
    </row>
    <row r="745" ht="15.75" customHeight="1">
      <c r="D745" s="97"/>
      <c r="E745" s="97"/>
      <c r="G745" s="97"/>
      <c r="I745" s="97"/>
    </row>
    <row r="746" ht="15.75" customHeight="1">
      <c r="D746" s="97"/>
      <c r="E746" s="97"/>
      <c r="G746" s="97"/>
      <c r="I746" s="97"/>
    </row>
    <row r="747" ht="15.75" customHeight="1">
      <c r="D747" s="97"/>
      <c r="E747" s="97"/>
      <c r="G747" s="97"/>
      <c r="I747" s="97"/>
    </row>
    <row r="748" ht="15.75" customHeight="1">
      <c r="D748" s="97"/>
      <c r="E748" s="97"/>
      <c r="G748" s="97"/>
      <c r="I748" s="97"/>
    </row>
    <row r="749" ht="15.75" customHeight="1">
      <c r="D749" s="97"/>
      <c r="E749" s="97"/>
      <c r="G749" s="97"/>
      <c r="I749" s="97"/>
    </row>
    <row r="750" ht="15.75" customHeight="1">
      <c r="D750" s="97"/>
      <c r="E750" s="97"/>
      <c r="G750" s="97"/>
      <c r="I750" s="97"/>
    </row>
    <row r="751" ht="15.75" customHeight="1">
      <c r="D751" s="97"/>
      <c r="E751" s="97"/>
      <c r="G751" s="97"/>
      <c r="I751" s="97"/>
    </row>
    <row r="752" ht="15.75" customHeight="1">
      <c r="D752" s="97"/>
      <c r="E752" s="97"/>
      <c r="G752" s="97"/>
      <c r="I752" s="97"/>
    </row>
    <row r="753" ht="15.75" customHeight="1">
      <c r="D753" s="97"/>
      <c r="E753" s="97"/>
      <c r="G753" s="97"/>
      <c r="I753" s="97"/>
    </row>
    <row r="754" ht="15.75" customHeight="1">
      <c r="D754" s="97"/>
      <c r="E754" s="97"/>
      <c r="G754" s="97"/>
      <c r="I754" s="97"/>
    </row>
    <row r="755" ht="15.75" customHeight="1">
      <c r="D755" s="97"/>
      <c r="E755" s="97"/>
      <c r="G755" s="97"/>
      <c r="I755" s="97"/>
    </row>
    <row r="756" ht="15.75" customHeight="1">
      <c r="D756" s="97"/>
      <c r="E756" s="97"/>
      <c r="G756" s="97"/>
      <c r="I756" s="97"/>
    </row>
    <row r="757" ht="15.75" customHeight="1">
      <c r="D757" s="97"/>
      <c r="E757" s="97"/>
      <c r="G757" s="97"/>
      <c r="I757" s="97"/>
    </row>
    <row r="758" ht="15.75" customHeight="1">
      <c r="D758" s="97"/>
      <c r="E758" s="97"/>
      <c r="G758" s="97"/>
      <c r="I758" s="97"/>
    </row>
    <row r="759" ht="15.75" customHeight="1">
      <c r="D759" s="97"/>
      <c r="E759" s="97"/>
      <c r="G759" s="97"/>
      <c r="I759" s="97"/>
    </row>
    <row r="760" ht="15.75" customHeight="1">
      <c r="D760" s="97"/>
      <c r="E760" s="97"/>
      <c r="G760" s="97"/>
      <c r="I760" s="97"/>
    </row>
    <row r="761" ht="15.75" customHeight="1">
      <c r="D761" s="97"/>
      <c r="E761" s="97"/>
      <c r="G761" s="97"/>
      <c r="I761" s="97"/>
    </row>
    <row r="762" ht="15.75" customHeight="1">
      <c r="D762" s="97"/>
      <c r="E762" s="97"/>
      <c r="G762" s="97"/>
      <c r="I762" s="97"/>
    </row>
    <row r="763" ht="15.75" customHeight="1">
      <c r="D763" s="97"/>
      <c r="E763" s="97"/>
      <c r="G763" s="97"/>
      <c r="I763" s="97"/>
    </row>
    <row r="764" ht="15.75" customHeight="1">
      <c r="D764" s="97"/>
      <c r="E764" s="97"/>
      <c r="G764" s="97"/>
      <c r="I764" s="97"/>
    </row>
    <row r="765" ht="15.75" customHeight="1">
      <c r="D765" s="97"/>
      <c r="E765" s="97"/>
      <c r="G765" s="97"/>
      <c r="I765" s="97"/>
    </row>
    <row r="766" ht="15.75" customHeight="1">
      <c r="D766" s="97"/>
      <c r="E766" s="97"/>
      <c r="G766" s="97"/>
      <c r="I766" s="97"/>
    </row>
    <row r="767" ht="15.75" customHeight="1">
      <c r="D767" s="97"/>
      <c r="E767" s="97"/>
      <c r="G767" s="97"/>
      <c r="I767" s="97"/>
    </row>
    <row r="768" ht="15.75" customHeight="1">
      <c r="D768" s="97"/>
      <c r="E768" s="97"/>
      <c r="G768" s="97"/>
      <c r="I768" s="97"/>
    </row>
    <row r="769" ht="15.75" customHeight="1">
      <c r="D769" s="97"/>
      <c r="E769" s="97"/>
      <c r="G769" s="97"/>
      <c r="I769" s="97"/>
    </row>
    <row r="770" ht="15.75" customHeight="1">
      <c r="D770" s="97"/>
      <c r="E770" s="97"/>
      <c r="G770" s="97"/>
      <c r="I770" s="97"/>
    </row>
    <row r="771" ht="15.75" customHeight="1">
      <c r="D771" s="97"/>
      <c r="E771" s="97"/>
      <c r="G771" s="97"/>
      <c r="I771" s="97"/>
    </row>
    <row r="772" ht="15.75" customHeight="1">
      <c r="D772" s="97"/>
      <c r="E772" s="97"/>
      <c r="G772" s="97"/>
      <c r="I772" s="97"/>
    </row>
    <row r="773" ht="15.75" customHeight="1">
      <c r="D773" s="97"/>
      <c r="E773" s="97"/>
      <c r="G773" s="97"/>
      <c r="I773" s="97"/>
    </row>
    <row r="774" ht="15.75" customHeight="1">
      <c r="D774" s="97"/>
      <c r="E774" s="97"/>
      <c r="G774" s="97"/>
      <c r="I774" s="97"/>
    </row>
    <row r="775" ht="15.75" customHeight="1">
      <c r="D775" s="97"/>
      <c r="E775" s="97"/>
      <c r="G775" s="97"/>
      <c r="I775" s="97"/>
    </row>
    <row r="776" ht="15.75" customHeight="1">
      <c r="D776" s="97"/>
      <c r="E776" s="97"/>
      <c r="G776" s="97"/>
      <c r="I776" s="97"/>
    </row>
    <row r="777" ht="15.75" customHeight="1">
      <c r="D777" s="97"/>
      <c r="E777" s="97"/>
      <c r="G777" s="97"/>
      <c r="I777" s="97"/>
    </row>
    <row r="778" ht="15.75" customHeight="1">
      <c r="D778" s="97"/>
      <c r="E778" s="97"/>
      <c r="G778" s="97"/>
      <c r="I778" s="97"/>
    </row>
    <row r="779" ht="15.75" customHeight="1">
      <c r="D779" s="97"/>
      <c r="E779" s="97"/>
      <c r="G779" s="97"/>
      <c r="I779" s="97"/>
    </row>
    <row r="780" ht="15.75" customHeight="1">
      <c r="D780" s="97"/>
      <c r="E780" s="97"/>
      <c r="G780" s="97"/>
      <c r="I780" s="97"/>
    </row>
    <row r="781" ht="15.75" customHeight="1">
      <c r="D781" s="97"/>
      <c r="E781" s="97"/>
      <c r="G781" s="97"/>
      <c r="I781" s="97"/>
    </row>
    <row r="782" ht="15.75" customHeight="1">
      <c r="D782" s="97"/>
      <c r="E782" s="97"/>
      <c r="G782" s="97"/>
      <c r="I782" s="97"/>
    </row>
    <row r="783" ht="15.75" customHeight="1">
      <c r="D783" s="97"/>
      <c r="E783" s="97"/>
      <c r="G783" s="97"/>
      <c r="I783" s="97"/>
    </row>
    <row r="784" ht="15.75" customHeight="1">
      <c r="D784" s="97"/>
      <c r="E784" s="97"/>
      <c r="G784" s="97"/>
      <c r="I784" s="97"/>
    </row>
    <row r="785" ht="15.75" customHeight="1">
      <c r="D785" s="97"/>
      <c r="E785" s="97"/>
      <c r="G785" s="97"/>
      <c r="I785" s="97"/>
    </row>
    <row r="786" ht="15.75" customHeight="1">
      <c r="D786" s="97"/>
      <c r="E786" s="97"/>
      <c r="G786" s="97"/>
      <c r="I786" s="97"/>
    </row>
    <row r="787" ht="15.75" customHeight="1">
      <c r="D787" s="97"/>
      <c r="E787" s="97"/>
      <c r="G787" s="97"/>
      <c r="I787" s="97"/>
    </row>
    <row r="788" ht="15.75" customHeight="1">
      <c r="D788" s="97"/>
      <c r="E788" s="97"/>
      <c r="G788" s="97"/>
      <c r="I788" s="97"/>
    </row>
    <row r="789" ht="15.75" customHeight="1">
      <c r="D789" s="97"/>
      <c r="E789" s="97"/>
      <c r="G789" s="97"/>
      <c r="I789" s="97"/>
    </row>
    <row r="790" ht="15.75" customHeight="1">
      <c r="D790" s="97"/>
      <c r="E790" s="97"/>
      <c r="G790" s="97"/>
      <c r="I790" s="97"/>
    </row>
    <row r="791" ht="15.75" customHeight="1">
      <c r="D791" s="97"/>
      <c r="E791" s="97"/>
      <c r="G791" s="97"/>
      <c r="I791" s="97"/>
    </row>
    <row r="792" ht="15.75" customHeight="1">
      <c r="D792" s="97"/>
      <c r="E792" s="97"/>
      <c r="G792" s="97"/>
      <c r="I792" s="97"/>
    </row>
    <row r="793" ht="15.75" customHeight="1">
      <c r="D793" s="97"/>
      <c r="E793" s="97"/>
      <c r="G793" s="97"/>
      <c r="I793" s="97"/>
    </row>
    <row r="794" ht="15.75" customHeight="1">
      <c r="D794" s="97"/>
      <c r="E794" s="97"/>
      <c r="G794" s="97"/>
      <c r="I794" s="97"/>
    </row>
    <row r="795" ht="15.75" customHeight="1">
      <c r="D795" s="97"/>
      <c r="E795" s="97"/>
      <c r="G795" s="97"/>
      <c r="I795" s="97"/>
    </row>
    <row r="796" ht="15.75" customHeight="1">
      <c r="D796" s="97"/>
      <c r="E796" s="97"/>
      <c r="G796" s="97"/>
      <c r="I796" s="97"/>
    </row>
    <row r="797" ht="15.75" customHeight="1">
      <c r="D797" s="97"/>
      <c r="E797" s="97"/>
      <c r="G797" s="97"/>
      <c r="I797" s="97"/>
    </row>
    <row r="798" ht="15.75" customHeight="1">
      <c r="D798" s="97"/>
      <c r="E798" s="97"/>
      <c r="G798" s="97"/>
      <c r="I798" s="97"/>
    </row>
    <row r="799" ht="15.75" customHeight="1">
      <c r="D799" s="97"/>
      <c r="E799" s="97"/>
      <c r="G799" s="97"/>
      <c r="I799" s="97"/>
    </row>
    <row r="800" ht="15.75" customHeight="1">
      <c r="D800" s="97"/>
      <c r="E800" s="97"/>
      <c r="G800" s="97"/>
      <c r="I800" s="97"/>
    </row>
    <row r="801" ht="15.75" customHeight="1">
      <c r="D801" s="97"/>
      <c r="E801" s="97"/>
      <c r="G801" s="97"/>
      <c r="I801" s="97"/>
    </row>
    <row r="802" ht="15.75" customHeight="1">
      <c r="D802" s="97"/>
      <c r="E802" s="97"/>
      <c r="G802" s="97"/>
      <c r="I802" s="97"/>
    </row>
    <row r="803" ht="15.75" customHeight="1">
      <c r="D803" s="97"/>
      <c r="E803" s="97"/>
      <c r="G803" s="97"/>
      <c r="I803" s="97"/>
    </row>
    <row r="804" ht="15.75" customHeight="1">
      <c r="D804" s="97"/>
      <c r="E804" s="97"/>
      <c r="G804" s="97"/>
      <c r="I804" s="97"/>
    </row>
    <row r="805" ht="15.75" customHeight="1">
      <c r="D805" s="97"/>
      <c r="E805" s="97"/>
      <c r="G805" s="97"/>
      <c r="I805" s="97"/>
    </row>
    <row r="806" ht="15.75" customHeight="1">
      <c r="D806" s="97"/>
      <c r="E806" s="97"/>
      <c r="G806" s="97"/>
      <c r="I806" s="97"/>
    </row>
    <row r="807" ht="15.75" customHeight="1">
      <c r="D807" s="97"/>
      <c r="E807" s="97"/>
      <c r="G807" s="97"/>
      <c r="I807" s="97"/>
    </row>
    <row r="808" ht="15.75" customHeight="1">
      <c r="D808" s="97"/>
      <c r="E808" s="97"/>
      <c r="G808" s="97"/>
      <c r="I808" s="97"/>
    </row>
    <row r="809" ht="15.75" customHeight="1">
      <c r="D809" s="97"/>
      <c r="E809" s="97"/>
      <c r="G809" s="97"/>
      <c r="I809" s="97"/>
    </row>
    <row r="810" ht="15.75" customHeight="1">
      <c r="D810" s="97"/>
      <c r="E810" s="97"/>
      <c r="G810" s="97"/>
      <c r="I810" s="97"/>
    </row>
    <row r="811" ht="15.75" customHeight="1">
      <c r="D811" s="97"/>
      <c r="E811" s="97"/>
      <c r="G811" s="97"/>
      <c r="I811" s="97"/>
    </row>
    <row r="812" ht="15.75" customHeight="1">
      <c r="D812" s="97"/>
      <c r="E812" s="97"/>
      <c r="G812" s="97"/>
      <c r="I812" s="97"/>
    </row>
    <row r="813" ht="15.75" customHeight="1">
      <c r="D813" s="97"/>
      <c r="E813" s="97"/>
      <c r="G813" s="97"/>
      <c r="I813" s="97"/>
    </row>
    <row r="814" ht="15.75" customHeight="1">
      <c r="D814" s="97"/>
      <c r="E814" s="97"/>
      <c r="G814" s="97"/>
      <c r="I814" s="97"/>
    </row>
    <row r="815" ht="15.75" customHeight="1">
      <c r="D815" s="97"/>
      <c r="E815" s="97"/>
      <c r="G815" s="97"/>
      <c r="I815" s="97"/>
    </row>
    <row r="816" ht="15.75" customHeight="1">
      <c r="D816" s="97"/>
      <c r="E816" s="97"/>
      <c r="G816" s="97"/>
      <c r="I816" s="97"/>
    </row>
    <row r="817" ht="15.75" customHeight="1">
      <c r="D817" s="97"/>
      <c r="E817" s="97"/>
      <c r="G817" s="97"/>
      <c r="I817" s="97"/>
    </row>
    <row r="818" ht="15.75" customHeight="1">
      <c r="D818" s="97"/>
      <c r="E818" s="97"/>
      <c r="G818" s="97"/>
      <c r="I818" s="97"/>
    </row>
    <row r="819" ht="15.75" customHeight="1">
      <c r="D819" s="97"/>
      <c r="E819" s="97"/>
      <c r="G819" s="97"/>
      <c r="I819" s="97"/>
    </row>
    <row r="820" ht="15.75" customHeight="1">
      <c r="D820" s="97"/>
      <c r="E820" s="97"/>
      <c r="G820" s="97"/>
      <c r="I820" s="97"/>
    </row>
    <row r="821" ht="15.75" customHeight="1">
      <c r="D821" s="97"/>
      <c r="E821" s="97"/>
      <c r="G821" s="97"/>
      <c r="I821" s="97"/>
    </row>
    <row r="822" ht="15.75" customHeight="1">
      <c r="D822" s="97"/>
      <c r="E822" s="97"/>
      <c r="G822" s="97"/>
      <c r="I822" s="97"/>
    </row>
    <row r="823" ht="15.75" customHeight="1">
      <c r="D823" s="97"/>
      <c r="E823" s="97"/>
      <c r="G823" s="97"/>
      <c r="I823" s="97"/>
    </row>
    <row r="824" ht="15.75" customHeight="1">
      <c r="D824" s="97"/>
      <c r="E824" s="97"/>
      <c r="G824" s="97"/>
      <c r="I824" s="97"/>
    </row>
    <row r="825" ht="15.75" customHeight="1">
      <c r="D825" s="97"/>
      <c r="E825" s="97"/>
      <c r="G825" s="97"/>
      <c r="I825" s="97"/>
    </row>
    <row r="826" ht="15.75" customHeight="1">
      <c r="D826" s="97"/>
      <c r="E826" s="97"/>
      <c r="G826" s="97"/>
      <c r="I826" s="97"/>
    </row>
    <row r="827" ht="15.75" customHeight="1">
      <c r="D827" s="97"/>
      <c r="E827" s="97"/>
      <c r="G827" s="97"/>
      <c r="I827" s="97"/>
    </row>
    <row r="828" ht="15.75" customHeight="1">
      <c r="D828" s="97"/>
      <c r="E828" s="97"/>
      <c r="G828" s="97"/>
      <c r="I828" s="97"/>
    </row>
    <row r="829" ht="15.75" customHeight="1">
      <c r="D829" s="97"/>
      <c r="E829" s="97"/>
      <c r="G829" s="97"/>
      <c r="I829" s="97"/>
    </row>
    <row r="830" ht="15.75" customHeight="1">
      <c r="D830" s="97"/>
      <c r="E830" s="97"/>
      <c r="G830" s="97"/>
      <c r="I830" s="97"/>
    </row>
    <row r="831" ht="15.75" customHeight="1">
      <c r="D831" s="97"/>
      <c r="E831" s="97"/>
      <c r="G831" s="97"/>
      <c r="I831" s="97"/>
    </row>
    <row r="832" ht="15.75" customHeight="1">
      <c r="D832" s="97"/>
      <c r="E832" s="97"/>
      <c r="G832" s="97"/>
      <c r="I832" s="97"/>
    </row>
    <row r="833" ht="15.75" customHeight="1">
      <c r="D833" s="97"/>
      <c r="E833" s="97"/>
      <c r="G833" s="97"/>
      <c r="I833" s="97"/>
    </row>
    <row r="834" ht="15.75" customHeight="1">
      <c r="D834" s="97"/>
      <c r="E834" s="97"/>
      <c r="G834" s="97"/>
      <c r="I834" s="97"/>
    </row>
    <row r="835" ht="15.75" customHeight="1">
      <c r="D835" s="97"/>
      <c r="E835" s="97"/>
      <c r="G835" s="97"/>
      <c r="I835" s="97"/>
    </row>
    <row r="836" ht="15.75" customHeight="1">
      <c r="D836" s="97"/>
      <c r="E836" s="97"/>
      <c r="G836" s="97"/>
      <c r="I836" s="97"/>
    </row>
    <row r="837" ht="15.75" customHeight="1">
      <c r="D837" s="97"/>
      <c r="E837" s="97"/>
      <c r="G837" s="97"/>
      <c r="I837" s="97"/>
    </row>
    <row r="838" ht="15.75" customHeight="1">
      <c r="D838" s="97"/>
      <c r="E838" s="97"/>
      <c r="G838" s="97"/>
      <c r="I838" s="97"/>
    </row>
    <row r="839" ht="15.75" customHeight="1">
      <c r="D839" s="97"/>
      <c r="E839" s="97"/>
      <c r="G839" s="97"/>
      <c r="I839" s="97"/>
    </row>
    <row r="840" ht="15.75" customHeight="1">
      <c r="D840" s="97"/>
      <c r="E840" s="97"/>
      <c r="G840" s="97"/>
      <c r="I840" s="97"/>
    </row>
    <row r="841" ht="15.75" customHeight="1">
      <c r="D841" s="97"/>
      <c r="E841" s="97"/>
      <c r="G841" s="97"/>
      <c r="I841" s="97"/>
    </row>
    <row r="842" ht="15.75" customHeight="1">
      <c r="D842" s="97"/>
      <c r="E842" s="97"/>
      <c r="G842" s="97"/>
      <c r="I842" s="97"/>
    </row>
    <row r="843" ht="15.75" customHeight="1">
      <c r="D843" s="97"/>
      <c r="E843" s="97"/>
      <c r="G843" s="97"/>
      <c r="I843" s="97"/>
    </row>
    <row r="844" ht="15.75" customHeight="1">
      <c r="D844" s="97"/>
      <c r="E844" s="97"/>
      <c r="G844" s="97"/>
      <c r="I844" s="97"/>
    </row>
    <row r="845" ht="15.75" customHeight="1">
      <c r="D845" s="97"/>
      <c r="E845" s="97"/>
      <c r="G845" s="97"/>
      <c r="I845" s="97"/>
    </row>
    <row r="846" ht="15.75" customHeight="1">
      <c r="D846" s="97"/>
      <c r="E846" s="97"/>
      <c r="G846" s="97"/>
      <c r="I846" s="97"/>
    </row>
    <row r="847" ht="15.75" customHeight="1">
      <c r="D847" s="97"/>
      <c r="E847" s="97"/>
      <c r="G847" s="97"/>
      <c r="I847" s="97"/>
    </row>
    <row r="848" ht="15.75" customHeight="1">
      <c r="D848" s="97"/>
      <c r="E848" s="97"/>
      <c r="G848" s="97"/>
      <c r="I848" s="97"/>
    </row>
    <row r="849" ht="15.75" customHeight="1">
      <c r="D849" s="97"/>
      <c r="E849" s="97"/>
      <c r="G849" s="97"/>
      <c r="I849" s="97"/>
    </row>
    <row r="850" ht="15.75" customHeight="1">
      <c r="D850" s="97"/>
      <c r="E850" s="97"/>
      <c r="G850" s="97"/>
      <c r="I850" s="97"/>
    </row>
    <row r="851" ht="15.75" customHeight="1">
      <c r="D851" s="97"/>
      <c r="E851" s="97"/>
      <c r="G851" s="97"/>
      <c r="I851" s="97"/>
    </row>
    <row r="852" ht="15.75" customHeight="1">
      <c r="D852" s="97"/>
      <c r="E852" s="97"/>
      <c r="G852" s="97"/>
      <c r="I852" s="97"/>
    </row>
    <row r="853" ht="15.75" customHeight="1">
      <c r="D853" s="97"/>
      <c r="E853" s="97"/>
      <c r="G853" s="97"/>
      <c r="I853" s="97"/>
    </row>
    <row r="854" ht="15.75" customHeight="1">
      <c r="D854" s="97"/>
      <c r="E854" s="97"/>
      <c r="G854" s="97"/>
      <c r="I854" s="97"/>
    </row>
    <row r="855" ht="15.75" customHeight="1">
      <c r="D855" s="97"/>
      <c r="E855" s="97"/>
      <c r="G855" s="97"/>
      <c r="I855" s="97"/>
    </row>
    <row r="856" ht="15.75" customHeight="1">
      <c r="D856" s="97"/>
      <c r="E856" s="97"/>
      <c r="G856" s="97"/>
      <c r="I856" s="97"/>
    </row>
    <row r="857" ht="15.75" customHeight="1">
      <c r="D857" s="97"/>
      <c r="E857" s="97"/>
      <c r="G857" s="97"/>
      <c r="I857" s="97"/>
    </row>
    <row r="858" ht="15.75" customHeight="1">
      <c r="D858" s="97"/>
      <c r="E858" s="97"/>
      <c r="G858" s="97"/>
      <c r="I858" s="97"/>
    </row>
    <row r="859" ht="15.75" customHeight="1">
      <c r="D859" s="97"/>
      <c r="E859" s="97"/>
      <c r="G859" s="97"/>
      <c r="I859" s="97"/>
    </row>
    <row r="860" ht="15.75" customHeight="1">
      <c r="D860" s="97"/>
      <c r="E860" s="97"/>
      <c r="G860" s="97"/>
      <c r="I860" s="97"/>
    </row>
    <row r="861" ht="15.75" customHeight="1">
      <c r="D861" s="97"/>
      <c r="E861" s="97"/>
      <c r="G861" s="97"/>
      <c r="I861" s="97"/>
    </row>
    <row r="862" ht="15.75" customHeight="1">
      <c r="D862" s="97"/>
      <c r="E862" s="97"/>
      <c r="G862" s="97"/>
      <c r="I862" s="97"/>
    </row>
    <row r="863" ht="15.75" customHeight="1">
      <c r="D863" s="97"/>
      <c r="E863" s="97"/>
      <c r="G863" s="97"/>
      <c r="I863" s="97"/>
    </row>
    <row r="864" ht="15.75" customHeight="1">
      <c r="D864" s="97"/>
      <c r="E864" s="97"/>
      <c r="G864" s="97"/>
      <c r="I864" s="97"/>
    </row>
    <row r="865" ht="15.75" customHeight="1">
      <c r="D865" s="97"/>
      <c r="E865" s="97"/>
      <c r="G865" s="97"/>
      <c r="I865" s="97"/>
    </row>
    <row r="866" ht="15.75" customHeight="1">
      <c r="D866" s="97"/>
      <c r="E866" s="97"/>
      <c r="G866" s="97"/>
      <c r="I866" s="97"/>
    </row>
    <row r="867" ht="15.75" customHeight="1">
      <c r="D867" s="97"/>
      <c r="E867" s="97"/>
      <c r="G867" s="97"/>
      <c r="I867" s="97"/>
    </row>
    <row r="868" ht="15.75" customHeight="1">
      <c r="D868" s="97"/>
      <c r="E868" s="97"/>
      <c r="G868" s="97"/>
      <c r="I868" s="97"/>
    </row>
    <row r="869" ht="15.75" customHeight="1">
      <c r="D869" s="97"/>
      <c r="E869" s="97"/>
      <c r="G869" s="97"/>
      <c r="I869" s="97"/>
    </row>
    <row r="870" ht="15.75" customHeight="1">
      <c r="D870" s="97"/>
      <c r="E870" s="97"/>
      <c r="G870" s="97"/>
      <c r="I870" s="97"/>
    </row>
    <row r="871" ht="15.75" customHeight="1">
      <c r="D871" s="97"/>
      <c r="E871" s="97"/>
      <c r="G871" s="97"/>
      <c r="I871" s="97"/>
    </row>
    <row r="872" ht="15.75" customHeight="1">
      <c r="D872" s="97"/>
      <c r="E872" s="97"/>
      <c r="G872" s="97"/>
      <c r="I872" s="97"/>
    </row>
    <row r="873" ht="15.75" customHeight="1">
      <c r="D873" s="97"/>
      <c r="E873" s="97"/>
      <c r="G873" s="97"/>
      <c r="I873" s="97"/>
    </row>
    <row r="874" ht="15.75" customHeight="1">
      <c r="D874" s="97"/>
      <c r="E874" s="97"/>
      <c r="G874" s="97"/>
      <c r="I874" s="97"/>
    </row>
    <row r="875" ht="15.75" customHeight="1">
      <c r="D875" s="97"/>
      <c r="E875" s="97"/>
      <c r="G875" s="97"/>
      <c r="I875" s="97"/>
    </row>
    <row r="876" ht="15.75" customHeight="1">
      <c r="D876" s="97"/>
      <c r="E876" s="97"/>
      <c r="G876" s="97"/>
      <c r="I876" s="97"/>
    </row>
    <row r="877" ht="15.75" customHeight="1">
      <c r="D877" s="97"/>
      <c r="E877" s="97"/>
      <c r="G877" s="97"/>
      <c r="I877" s="97"/>
    </row>
    <row r="878" ht="15.75" customHeight="1">
      <c r="D878" s="97"/>
      <c r="E878" s="97"/>
      <c r="G878" s="97"/>
      <c r="I878" s="97"/>
    </row>
    <row r="879" ht="15.75" customHeight="1">
      <c r="D879" s="97"/>
      <c r="E879" s="97"/>
      <c r="G879" s="97"/>
      <c r="I879" s="97"/>
    </row>
    <row r="880" ht="15.75" customHeight="1">
      <c r="D880" s="97"/>
      <c r="E880" s="97"/>
      <c r="G880" s="97"/>
      <c r="I880" s="97"/>
    </row>
    <row r="881" ht="15.75" customHeight="1">
      <c r="D881" s="97"/>
      <c r="E881" s="97"/>
      <c r="G881" s="97"/>
      <c r="I881" s="97"/>
    </row>
    <row r="882" ht="15.75" customHeight="1">
      <c r="D882" s="97"/>
      <c r="E882" s="97"/>
      <c r="G882" s="97"/>
      <c r="I882" s="97"/>
    </row>
    <row r="883" ht="15.75" customHeight="1">
      <c r="D883" s="97"/>
      <c r="E883" s="97"/>
      <c r="G883" s="97"/>
      <c r="I883" s="97"/>
    </row>
    <row r="884" ht="15.75" customHeight="1">
      <c r="D884" s="97"/>
      <c r="E884" s="97"/>
      <c r="G884" s="97"/>
      <c r="I884" s="97"/>
    </row>
    <row r="885" ht="15.75" customHeight="1">
      <c r="D885" s="97"/>
      <c r="E885" s="97"/>
      <c r="G885" s="97"/>
      <c r="I885" s="97"/>
    </row>
    <row r="886" ht="15.75" customHeight="1">
      <c r="D886" s="97"/>
      <c r="E886" s="97"/>
      <c r="G886" s="97"/>
      <c r="I886" s="97"/>
    </row>
    <row r="887" ht="15.75" customHeight="1">
      <c r="D887" s="97"/>
      <c r="E887" s="97"/>
      <c r="G887" s="97"/>
      <c r="I887" s="97"/>
    </row>
    <row r="888" ht="15.75" customHeight="1">
      <c r="D888" s="97"/>
      <c r="E888" s="97"/>
      <c r="G888" s="97"/>
      <c r="I888" s="97"/>
    </row>
    <row r="889" ht="15.75" customHeight="1">
      <c r="D889" s="97"/>
      <c r="E889" s="97"/>
      <c r="G889" s="97"/>
      <c r="I889" s="97"/>
    </row>
    <row r="890" ht="15.75" customHeight="1">
      <c r="D890" s="97"/>
      <c r="E890" s="97"/>
      <c r="G890" s="97"/>
      <c r="I890" s="97"/>
    </row>
    <row r="891" ht="15.75" customHeight="1">
      <c r="D891" s="97"/>
      <c r="E891" s="97"/>
      <c r="G891" s="97"/>
      <c r="I891" s="97"/>
    </row>
    <row r="892" ht="15.75" customHeight="1">
      <c r="D892" s="97"/>
      <c r="E892" s="97"/>
      <c r="G892" s="97"/>
      <c r="I892" s="97"/>
    </row>
    <row r="893" ht="15.75" customHeight="1">
      <c r="D893" s="97"/>
      <c r="E893" s="97"/>
      <c r="G893" s="97"/>
      <c r="I893" s="97"/>
    </row>
    <row r="894" ht="15.75" customHeight="1">
      <c r="D894" s="97"/>
      <c r="E894" s="97"/>
      <c r="G894" s="97"/>
      <c r="I894" s="97"/>
    </row>
    <row r="895" ht="15.75" customHeight="1">
      <c r="D895" s="97"/>
      <c r="E895" s="97"/>
      <c r="G895" s="97"/>
      <c r="I895" s="97"/>
    </row>
    <row r="896" ht="15.75" customHeight="1">
      <c r="D896" s="97"/>
      <c r="E896" s="97"/>
      <c r="G896" s="97"/>
      <c r="I896" s="97"/>
    </row>
    <row r="897" ht="15.75" customHeight="1">
      <c r="D897" s="97"/>
      <c r="E897" s="97"/>
      <c r="G897" s="97"/>
      <c r="I897" s="97"/>
    </row>
    <row r="898" ht="15.75" customHeight="1">
      <c r="D898" s="97"/>
      <c r="E898" s="97"/>
      <c r="G898" s="97"/>
      <c r="I898" s="97"/>
    </row>
    <row r="899" ht="15.75" customHeight="1">
      <c r="D899" s="97"/>
      <c r="E899" s="97"/>
      <c r="G899" s="97"/>
      <c r="I899" s="97"/>
    </row>
    <row r="900" ht="15.75" customHeight="1">
      <c r="D900" s="97"/>
      <c r="E900" s="97"/>
      <c r="G900" s="97"/>
      <c r="I900" s="97"/>
    </row>
    <row r="901" ht="15.75" customHeight="1">
      <c r="D901" s="97"/>
      <c r="E901" s="97"/>
      <c r="G901" s="97"/>
      <c r="I901" s="97"/>
    </row>
    <row r="902" ht="15.75" customHeight="1">
      <c r="D902" s="97"/>
      <c r="E902" s="97"/>
      <c r="G902" s="97"/>
      <c r="I902" s="97"/>
    </row>
    <row r="903" ht="15.75" customHeight="1">
      <c r="D903" s="97"/>
      <c r="E903" s="97"/>
      <c r="G903" s="97"/>
      <c r="I903" s="97"/>
    </row>
    <row r="904" ht="15.75" customHeight="1">
      <c r="D904" s="97"/>
      <c r="E904" s="97"/>
      <c r="G904" s="97"/>
      <c r="I904" s="97"/>
    </row>
    <row r="905" ht="15.75" customHeight="1">
      <c r="D905" s="97"/>
      <c r="E905" s="97"/>
      <c r="G905" s="97"/>
      <c r="I905" s="97"/>
    </row>
    <row r="906" ht="15.75" customHeight="1">
      <c r="D906" s="97"/>
      <c r="E906" s="97"/>
      <c r="G906" s="97"/>
      <c r="I906" s="97"/>
    </row>
    <row r="907" ht="15.75" customHeight="1">
      <c r="D907" s="97"/>
      <c r="E907" s="97"/>
      <c r="G907" s="97"/>
      <c r="I907" s="97"/>
    </row>
    <row r="908" ht="15.75" customHeight="1">
      <c r="D908" s="97"/>
      <c r="E908" s="97"/>
      <c r="G908" s="97"/>
      <c r="I908" s="97"/>
    </row>
    <row r="909" ht="15.75" customHeight="1">
      <c r="D909" s="97"/>
      <c r="E909" s="97"/>
      <c r="G909" s="97"/>
      <c r="I909" s="97"/>
    </row>
    <row r="910" ht="15.75" customHeight="1">
      <c r="D910" s="97"/>
      <c r="E910" s="97"/>
      <c r="G910" s="97"/>
      <c r="I910" s="97"/>
    </row>
    <row r="911" ht="15.75" customHeight="1">
      <c r="D911" s="97"/>
      <c r="E911" s="97"/>
      <c r="G911" s="97"/>
      <c r="I911" s="97"/>
    </row>
    <row r="912" ht="15.75" customHeight="1">
      <c r="D912" s="97"/>
      <c r="E912" s="97"/>
      <c r="G912" s="97"/>
      <c r="I912" s="97"/>
    </row>
    <row r="913" ht="15.75" customHeight="1">
      <c r="D913" s="97"/>
      <c r="E913" s="97"/>
      <c r="G913" s="97"/>
      <c r="I913" s="97"/>
    </row>
    <row r="914" ht="15.75" customHeight="1">
      <c r="D914" s="97"/>
      <c r="E914" s="97"/>
      <c r="G914" s="97"/>
      <c r="I914" s="97"/>
    </row>
    <row r="915" ht="15.75" customHeight="1">
      <c r="D915" s="97"/>
      <c r="E915" s="97"/>
      <c r="G915" s="97"/>
      <c r="I915" s="97"/>
    </row>
    <row r="916" ht="15.75" customHeight="1">
      <c r="D916" s="97"/>
      <c r="E916" s="97"/>
      <c r="G916" s="97"/>
      <c r="I916" s="97"/>
    </row>
    <row r="917" ht="15.75" customHeight="1">
      <c r="D917" s="97"/>
      <c r="E917" s="97"/>
      <c r="G917" s="97"/>
      <c r="I917" s="97"/>
    </row>
    <row r="918" ht="15.75" customHeight="1">
      <c r="D918" s="97"/>
      <c r="E918" s="97"/>
      <c r="G918" s="97"/>
      <c r="I918" s="97"/>
    </row>
    <row r="919" ht="15.75" customHeight="1">
      <c r="D919" s="97"/>
      <c r="E919" s="97"/>
      <c r="G919" s="97"/>
      <c r="I919" s="97"/>
    </row>
    <row r="920" ht="15.75" customHeight="1">
      <c r="D920" s="97"/>
      <c r="E920" s="97"/>
      <c r="G920" s="97"/>
      <c r="I920" s="97"/>
    </row>
    <row r="921" ht="15.75" customHeight="1">
      <c r="D921" s="97"/>
      <c r="E921" s="97"/>
      <c r="G921" s="97"/>
      <c r="I921" s="97"/>
    </row>
    <row r="922" ht="15.75" customHeight="1">
      <c r="D922" s="97"/>
      <c r="E922" s="97"/>
      <c r="G922" s="97"/>
      <c r="I922" s="97"/>
    </row>
    <row r="923" ht="15.75" customHeight="1">
      <c r="D923" s="97"/>
      <c r="E923" s="97"/>
      <c r="G923" s="97"/>
      <c r="I923" s="97"/>
    </row>
    <row r="924" ht="15.75" customHeight="1">
      <c r="D924" s="97"/>
      <c r="E924" s="97"/>
      <c r="G924" s="97"/>
      <c r="I924" s="97"/>
    </row>
    <row r="925" ht="15.75" customHeight="1">
      <c r="D925" s="97"/>
      <c r="E925" s="97"/>
      <c r="G925" s="97"/>
      <c r="I925" s="97"/>
    </row>
    <row r="926" ht="15.75" customHeight="1">
      <c r="D926" s="97"/>
      <c r="E926" s="97"/>
      <c r="G926" s="97"/>
      <c r="I926" s="97"/>
    </row>
    <row r="927" ht="15.75" customHeight="1">
      <c r="D927" s="97"/>
      <c r="E927" s="97"/>
      <c r="G927" s="97"/>
      <c r="I927" s="97"/>
    </row>
    <row r="928" ht="15.75" customHeight="1">
      <c r="D928" s="97"/>
      <c r="E928" s="97"/>
      <c r="G928" s="97"/>
      <c r="I928" s="97"/>
    </row>
    <row r="929" ht="15.75" customHeight="1">
      <c r="D929" s="97"/>
      <c r="E929" s="97"/>
      <c r="G929" s="97"/>
      <c r="I929" s="97"/>
    </row>
    <row r="930" ht="15.75" customHeight="1">
      <c r="D930" s="97"/>
      <c r="E930" s="97"/>
      <c r="G930" s="97"/>
      <c r="I930" s="97"/>
    </row>
    <row r="931" ht="15.75" customHeight="1">
      <c r="D931" s="97"/>
      <c r="E931" s="97"/>
      <c r="G931" s="97"/>
      <c r="I931" s="97"/>
    </row>
    <row r="932" ht="15.75" customHeight="1">
      <c r="D932" s="97"/>
      <c r="E932" s="97"/>
      <c r="G932" s="97"/>
      <c r="I932" s="97"/>
    </row>
    <row r="933" ht="15.75" customHeight="1">
      <c r="D933" s="97"/>
      <c r="E933" s="97"/>
      <c r="G933" s="97"/>
      <c r="I933" s="97"/>
    </row>
    <row r="934" ht="15.75" customHeight="1">
      <c r="D934" s="97"/>
      <c r="E934" s="97"/>
      <c r="G934" s="97"/>
      <c r="I934" s="97"/>
    </row>
    <row r="935" ht="15.75" customHeight="1">
      <c r="D935" s="97"/>
      <c r="E935" s="97"/>
      <c r="G935" s="97"/>
      <c r="I935" s="97"/>
    </row>
    <row r="936" ht="15.75" customHeight="1">
      <c r="D936" s="97"/>
      <c r="E936" s="97"/>
      <c r="G936" s="97"/>
      <c r="I936" s="97"/>
    </row>
    <row r="937" ht="15.75" customHeight="1">
      <c r="D937" s="97"/>
      <c r="E937" s="97"/>
      <c r="G937" s="97"/>
      <c r="I937" s="97"/>
    </row>
    <row r="938" ht="15.75" customHeight="1">
      <c r="D938" s="97"/>
      <c r="E938" s="97"/>
      <c r="G938" s="97"/>
      <c r="I938" s="97"/>
    </row>
    <row r="939" ht="15.75" customHeight="1">
      <c r="D939" s="97"/>
      <c r="E939" s="97"/>
      <c r="G939" s="97"/>
      <c r="I939" s="97"/>
    </row>
    <row r="940" ht="15.75" customHeight="1">
      <c r="D940" s="97"/>
      <c r="E940" s="97"/>
      <c r="G940" s="97"/>
      <c r="I940" s="97"/>
    </row>
    <row r="941" ht="15.75" customHeight="1">
      <c r="D941" s="97"/>
      <c r="E941" s="97"/>
      <c r="G941" s="97"/>
      <c r="I941" s="97"/>
    </row>
    <row r="942" ht="15.75" customHeight="1">
      <c r="D942" s="97"/>
      <c r="E942" s="97"/>
      <c r="G942" s="97"/>
      <c r="I942" s="97"/>
    </row>
    <row r="943" ht="15.75" customHeight="1">
      <c r="D943" s="97"/>
      <c r="E943" s="97"/>
      <c r="G943" s="97"/>
      <c r="I943" s="97"/>
    </row>
    <row r="944" ht="15.75" customHeight="1">
      <c r="D944" s="97"/>
      <c r="E944" s="97"/>
      <c r="G944" s="97"/>
      <c r="I944" s="97"/>
    </row>
    <row r="945" ht="15.75" customHeight="1">
      <c r="D945" s="97"/>
      <c r="E945" s="97"/>
      <c r="G945" s="97"/>
      <c r="I945" s="97"/>
    </row>
    <row r="946" ht="15.75" customHeight="1">
      <c r="D946" s="97"/>
      <c r="E946" s="97"/>
      <c r="G946" s="97"/>
      <c r="I946" s="97"/>
    </row>
    <row r="947" ht="15.75" customHeight="1">
      <c r="D947" s="97"/>
      <c r="E947" s="97"/>
      <c r="G947" s="97"/>
      <c r="I947" s="97"/>
    </row>
    <row r="948" ht="15.75" customHeight="1">
      <c r="D948" s="97"/>
      <c r="E948" s="97"/>
      <c r="G948" s="97"/>
      <c r="I948" s="97"/>
    </row>
    <row r="949" ht="15.75" customHeight="1">
      <c r="D949" s="97"/>
      <c r="E949" s="97"/>
      <c r="G949" s="97"/>
      <c r="I949" s="97"/>
    </row>
    <row r="950" ht="15.75" customHeight="1">
      <c r="D950" s="97"/>
      <c r="E950" s="97"/>
      <c r="G950" s="97"/>
      <c r="I950" s="97"/>
    </row>
    <row r="951" ht="15.75" customHeight="1">
      <c r="D951" s="97"/>
      <c r="E951" s="97"/>
      <c r="G951" s="97"/>
      <c r="I951" s="97"/>
    </row>
    <row r="952" ht="15.75" customHeight="1">
      <c r="D952" s="97"/>
      <c r="E952" s="97"/>
      <c r="G952" s="97"/>
      <c r="I952" s="97"/>
    </row>
    <row r="953" ht="15.75" customHeight="1">
      <c r="D953" s="97"/>
      <c r="E953" s="97"/>
      <c r="G953" s="97"/>
      <c r="I953" s="97"/>
    </row>
    <row r="954" ht="15.75" customHeight="1">
      <c r="D954" s="97"/>
      <c r="E954" s="97"/>
      <c r="G954" s="97"/>
      <c r="I954" s="97"/>
    </row>
    <row r="955" ht="15.75" customHeight="1">
      <c r="D955" s="97"/>
      <c r="E955" s="97"/>
      <c r="G955" s="97"/>
      <c r="I955" s="97"/>
    </row>
    <row r="956" ht="15.75" customHeight="1">
      <c r="D956" s="97"/>
      <c r="E956" s="97"/>
      <c r="G956" s="97"/>
      <c r="I956" s="97"/>
    </row>
    <row r="957" ht="15.75" customHeight="1">
      <c r="D957" s="97"/>
      <c r="E957" s="97"/>
      <c r="G957" s="97"/>
      <c r="I957" s="97"/>
    </row>
    <row r="958" ht="15.75" customHeight="1">
      <c r="D958" s="97"/>
      <c r="E958" s="97"/>
      <c r="G958" s="97"/>
      <c r="I958" s="97"/>
    </row>
    <row r="959" ht="15.75" customHeight="1">
      <c r="D959" s="97"/>
      <c r="E959" s="97"/>
      <c r="G959" s="97"/>
      <c r="I959" s="97"/>
    </row>
    <row r="960" ht="15.75" customHeight="1">
      <c r="D960" s="97"/>
      <c r="E960" s="97"/>
      <c r="G960" s="97"/>
      <c r="I960" s="97"/>
    </row>
    <row r="961" ht="15.75" customHeight="1">
      <c r="D961" s="97"/>
      <c r="E961" s="97"/>
      <c r="G961" s="97"/>
      <c r="I961" s="97"/>
    </row>
    <row r="962" ht="15.75" customHeight="1">
      <c r="D962" s="97"/>
      <c r="E962" s="97"/>
      <c r="G962" s="97"/>
      <c r="I962" s="97"/>
    </row>
    <row r="963" ht="15.75" customHeight="1">
      <c r="D963" s="97"/>
      <c r="E963" s="97"/>
      <c r="G963" s="97"/>
      <c r="I963" s="97"/>
    </row>
    <row r="964" ht="15.75" customHeight="1">
      <c r="D964" s="97"/>
      <c r="E964" s="97"/>
      <c r="G964" s="97"/>
      <c r="I964" s="97"/>
    </row>
    <row r="965" ht="15.75" customHeight="1">
      <c r="D965" s="97"/>
      <c r="E965" s="97"/>
      <c r="G965" s="97"/>
      <c r="I965" s="97"/>
    </row>
    <row r="966" ht="15.75" customHeight="1">
      <c r="D966" s="97"/>
      <c r="E966" s="97"/>
      <c r="G966" s="97"/>
      <c r="I966" s="97"/>
    </row>
    <row r="967" ht="15.75" customHeight="1">
      <c r="D967" s="97"/>
      <c r="E967" s="97"/>
      <c r="G967" s="97"/>
      <c r="I967" s="97"/>
    </row>
    <row r="968" ht="15.75" customHeight="1">
      <c r="D968" s="97"/>
      <c r="E968" s="97"/>
      <c r="G968" s="97"/>
      <c r="I968" s="97"/>
    </row>
    <row r="969" ht="15.75" customHeight="1">
      <c r="D969" s="97"/>
      <c r="E969" s="97"/>
      <c r="G969" s="97"/>
      <c r="I969" s="97"/>
    </row>
    <row r="970" ht="15.75" customHeight="1">
      <c r="D970" s="97"/>
      <c r="E970" s="97"/>
      <c r="G970" s="97"/>
      <c r="I970" s="97"/>
    </row>
    <row r="971" ht="15.75" customHeight="1">
      <c r="D971" s="97"/>
      <c r="E971" s="97"/>
      <c r="G971" s="97"/>
      <c r="I971" s="97"/>
    </row>
    <row r="972" ht="15.75" customHeight="1">
      <c r="D972" s="97"/>
      <c r="E972" s="97"/>
      <c r="G972" s="97"/>
      <c r="I972" s="97"/>
    </row>
    <row r="973" ht="15.75" customHeight="1">
      <c r="D973" s="97"/>
      <c r="E973" s="97"/>
      <c r="G973" s="97"/>
      <c r="I973" s="97"/>
    </row>
    <row r="974" ht="15.75" customHeight="1">
      <c r="D974" s="97"/>
      <c r="E974" s="97"/>
      <c r="G974" s="97"/>
      <c r="I974" s="97"/>
    </row>
    <row r="975" ht="15.75" customHeight="1">
      <c r="D975" s="97"/>
      <c r="E975" s="97"/>
      <c r="G975" s="97"/>
      <c r="I975" s="97"/>
    </row>
    <row r="976" ht="15.75" customHeight="1">
      <c r="D976" s="97"/>
      <c r="E976" s="97"/>
      <c r="G976" s="97"/>
      <c r="I976" s="97"/>
    </row>
    <row r="977" ht="15.75" customHeight="1">
      <c r="D977" s="97"/>
      <c r="E977" s="97"/>
      <c r="G977" s="97"/>
      <c r="I977" s="97"/>
    </row>
    <row r="978" ht="15.75" customHeight="1">
      <c r="D978" s="97"/>
      <c r="E978" s="97"/>
      <c r="G978" s="97"/>
      <c r="I978" s="97"/>
    </row>
    <row r="979" ht="15.75" customHeight="1">
      <c r="D979" s="97"/>
      <c r="E979" s="97"/>
      <c r="G979" s="97"/>
      <c r="I979" s="97"/>
    </row>
    <row r="980" ht="15.75" customHeight="1">
      <c r="D980" s="97"/>
      <c r="E980" s="97"/>
      <c r="G980" s="97"/>
      <c r="I980" s="97"/>
    </row>
    <row r="981" ht="15.75" customHeight="1">
      <c r="D981" s="97"/>
      <c r="E981" s="97"/>
      <c r="G981" s="97"/>
      <c r="I981" s="97"/>
    </row>
    <row r="982" ht="15.75" customHeight="1">
      <c r="D982" s="97"/>
      <c r="E982" s="97"/>
      <c r="G982" s="97"/>
      <c r="I982" s="97"/>
    </row>
    <row r="983" ht="15.75" customHeight="1">
      <c r="D983" s="97"/>
      <c r="E983" s="97"/>
      <c r="G983" s="97"/>
      <c r="I983" s="97"/>
    </row>
    <row r="984" ht="15.75" customHeight="1">
      <c r="D984" s="97"/>
      <c r="E984" s="97"/>
      <c r="G984" s="97"/>
      <c r="I984" s="97"/>
    </row>
    <row r="985" ht="15.75" customHeight="1">
      <c r="D985" s="97"/>
      <c r="E985" s="97"/>
      <c r="G985" s="97"/>
      <c r="I985" s="97"/>
    </row>
    <row r="986" ht="15.75" customHeight="1">
      <c r="D986" s="97"/>
      <c r="E986" s="97"/>
      <c r="G986" s="97"/>
      <c r="I986" s="97"/>
    </row>
    <row r="987" ht="15.75" customHeight="1">
      <c r="D987" s="97"/>
      <c r="E987" s="97"/>
      <c r="G987" s="97"/>
      <c r="I987" s="97"/>
    </row>
    <row r="988" ht="15.75" customHeight="1">
      <c r="D988" s="97"/>
      <c r="E988" s="97"/>
      <c r="G988" s="97"/>
      <c r="I988" s="97"/>
    </row>
    <row r="989" ht="15.75" customHeight="1">
      <c r="D989" s="97"/>
      <c r="E989" s="97"/>
      <c r="G989" s="97"/>
      <c r="I989" s="97"/>
    </row>
    <row r="990" ht="15.75" customHeight="1">
      <c r="D990" s="97"/>
      <c r="E990" s="97"/>
      <c r="G990" s="97"/>
      <c r="I990" s="97"/>
    </row>
    <row r="991" ht="15.75" customHeight="1">
      <c r="D991" s="97"/>
      <c r="E991" s="97"/>
      <c r="G991" s="97"/>
      <c r="I991" s="97"/>
    </row>
    <row r="992" ht="15.75" customHeight="1">
      <c r="D992" s="97"/>
      <c r="E992" s="97"/>
      <c r="G992" s="97"/>
      <c r="I992" s="97"/>
    </row>
    <row r="993" ht="15.75" customHeight="1">
      <c r="D993" s="97"/>
      <c r="E993" s="97"/>
      <c r="G993" s="97"/>
      <c r="I993" s="97"/>
    </row>
    <row r="994" ht="15.75" customHeight="1">
      <c r="D994" s="97"/>
      <c r="E994" s="97"/>
      <c r="G994" s="97"/>
      <c r="I994" s="97"/>
    </row>
    <row r="995" ht="15.75" customHeight="1">
      <c r="D995" s="97"/>
      <c r="E995" s="97"/>
      <c r="G995" s="97"/>
      <c r="I995" s="97"/>
    </row>
    <row r="996" ht="15.75" customHeight="1">
      <c r="D996" s="97"/>
      <c r="E996" s="97"/>
      <c r="G996" s="97"/>
      <c r="I996" s="97"/>
    </row>
    <row r="997" ht="15.75" customHeight="1">
      <c r="D997" s="97"/>
      <c r="E997" s="97"/>
      <c r="G997" s="97"/>
      <c r="I997" s="97"/>
    </row>
    <row r="998" ht="15.75" customHeight="1">
      <c r="D998" s="97"/>
      <c r="E998" s="97"/>
      <c r="G998" s="97"/>
      <c r="I998" s="97"/>
    </row>
    <row r="999" ht="15.75" customHeight="1">
      <c r="D999" s="97"/>
      <c r="E999" s="97"/>
      <c r="G999" s="97"/>
      <c r="I999" s="97"/>
    </row>
    <row r="1000" ht="15.75" customHeight="1">
      <c r="D1000" s="97"/>
      <c r="E1000" s="97"/>
      <c r="G1000" s="97"/>
      <c r="I1000" s="97"/>
    </row>
  </sheetData>
  <conditionalFormatting sqref="I2:I1000">
    <cfRule type="expression" dxfId="4" priority="1">
      <formula>$I2="Yes"</formula>
    </cfRule>
  </conditionalFormatting>
  <dataValidations>
    <dataValidation type="list" allowBlank="1" sqref="G2:G1000">
      <formula1>"Open,In Progress,Done,Issue,N/A"</formula1>
    </dataValidation>
    <dataValidation type="list" allowBlank="1" sqref="E2:E1000">
      <formula1>"Daily,Weekly,Biweekly,Monthly,Quarterly,Annual,As Needed"</formula1>
    </dataValidation>
    <dataValidation type="list" allowBlank="1" sqref="D2:D1000">
      <formula1>"Ahmad,Emmanuel,Moises,Staff / TBD"</formula1>
    </dataValidation>
    <dataValidation type="list" allowBlank="1" sqref="I2:I10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95.0"/>
    <col customWidth="1" min="3" max="26" width="8.71"/>
  </cols>
  <sheetData>
    <row r="1" ht="27.75" customHeight="1">
      <c r="A1" s="117" t="s">
        <v>1074</v>
      </c>
      <c r="B1" s="118"/>
      <c r="C1" s="118"/>
      <c r="D1" s="118"/>
      <c r="E1" s="118"/>
      <c r="F1" s="119"/>
    </row>
    <row r="2" ht="18.0" customHeight="1"/>
    <row r="3" ht="18.0" customHeight="1">
      <c r="A3" s="120" t="s">
        <v>1075</v>
      </c>
      <c r="B3" s="121" t="s">
        <v>1076</v>
      </c>
    </row>
    <row r="4" ht="18.0" customHeight="1">
      <c r="A4" s="120" t="s">
        <v>1077</v>
      </c>
      <c r="B4" s="121" t="s">
        <v>1078</v>
      </c>
    </row>
    <row r="5" ht="18.0" customHeight="1">
      <c r="A5" s="120" t="s">
        <v>1079</v>
      </c>
      <c r="B5" s="121" t="s">
        <v>1080</v>
      </c>
    </row>
    <row r="6" ht="18.0" customHeight="1">
      <c r="A6" s="120" t="s">
        <v>1081</v>
      </c>
      <c r="B6" s="121" t="s">
        <v>1082</v>
      </c>
    </row>
    <row r="7" ht="18.0" customHeight="1"/>
    <row r="8" ht="18.0" customHeight="1">
      <c r="A8" s="122" t="s">
        <v>1083</v>
      </c>
      <c r="B8" s="118"/>
      <c r="C8" s="118"/>
      <c r="D8" s="118"/>
      <c r="E8" s="118"/>
      <c r="F8" s="119"/>
    </row>
    <row r="9" ht="18.0" customHeight="1">
      <c r="A9" s="120" t="s">
        <v>1084</v>
      </c>
      <c r="B9" s="123" t="s">
        <v>1085</v>
      </c>
    </row>
    <row r="10" ht="18.0" customHeight="1">
      <c r="A10" s="120" t="s">
        <v>1143</v>
      </c>
      <c r="B10" s="123" t="s">
        <v>1144</v>
      </c>
    </row>
    <row r="11" ht="18.0" customHeight="1">
      <c r="A11" s="120" t="s">
        <v>1145</v>
      </c>
      <c r="B11" s="123" t="s">
        <v>1146</v>
      </c>
    </row>
    <row r="12" ht="18.0" customHeight="1">
      <c r="A12" s="120" t="s">
        <v>1147</v>
      </c>
      <c r="B12" s="123" t="s">
        <v>1148</v>
      </c>
    </row>
    <row r="13" ht="18.0" customHeight="1">
      <c r="A13" s="120" t="s">
        <v>1149</v>
      </c>
      <c r="B13" s="123" t="s">
        <v>1150</v>
      </c>
    </row>
    <row r="14" ht="18.0" customHeight="1">
      <c r="A14" s="120" t="s">
        <v>1151</v>
      </c>
      <c r="B14" s="123" t="s">
        <v>1152</v>
      </c>
    </row>
    <row r="15" ht="18.0" customHeight="1"/>
    <row r="16" ht="18.0" customHeight="1">
      <c r="A16" s="122" t="s">
        <v>1153</v>
      </c>
      <c r="B16" s="118"/>
      <c r="C16" s="118"/>
      <c r="D16" s="118"/>
      <c r="E16" s="118"/>
      <c r="F16" s="119"/>
    </row>
    <row r="17" ht="18.0" customHeight="1">
      <c r="A17" s="120" t="s">
        <v>1154</v>
      </c>
      <c r="B17" s="97" t="s">
        <v>1155</v>
      </c>
    </row>
    <row r="18" ht="18.0" customHeight="1">
      <c r="A18" s="120" t="s">
        <v>1156</v>
      </c>
      <c r="B18" s="97" t="s">
        <v>1157</v>
      </c>
    </row>
    <row r="19" ht="18.0" customHeight="1">
      <c r="A19" s="120" t="s">
        <v>1158</v>
      </c>
      <c r="B19" s="97" t="s">
        <v>1159</v>
      </c>
    </row>
    <row r="20" ht="18.0" customHeight="1">
      <c r="A20" s="120" t="s">
        <v>1160</v>
      </c>
      <c r="B20" s="97" t="s">
        <v>1161</v>
      </c>
    </row>
    <row r="21" ht="18.0" customHeight="1">
      <c r="A21" s="120" t="s">
        <v>1162</v>
      </c>
      <c r="B21" s="97" t="s">
        <v>1163</v>
      </c>
    </row>
    <row r="22" ht="18.0" customHeight="1"/>
    <row r="23" ht="18.0" customHeight="1"/>
    <row r="24" ht="18.0" customHeight="1">
      <c r="A24" s="122" t="s">
        <v>1164</v>
      </c>
      <c r="B24" s="118"/>
      <c r="C24" s="118"/>
      <c r="D24" s="118"/>
      <c r="E24" s="118"/>
      <c r="F24" s="119"/>
    </row>
    <row r="25" ht="18.0" customHeight="1">
      <c r="A25" s="120" t="s">
        <v>1165</v>
      </c>
      <c r="B25" s="123" t="s">
        <v>1166</v>
      </c>
    </row>
    <row r="26" ht="18.0" customHeight="1">
      <c r="A26" s="120" t="s">
        <v>1167</v>
      </c>
      <c r="B26" s="123" t="s">
        <v>1168</v>
      </c>
    </row>
    <row r="27" ht="18.0" customHeight="1">
      <c r="A27" s="120" t="s">
        <v>1169</v>
      </c>
      <c r="B27" s="123" t="s">
        <v>1170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8:F8"/>
    <mergeCell ref="A16:F16"/>
    <mergeCell ref="A24:F24"/>
  </mergeCell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4.0"/>
    <col customWidth="1" min="3" max="3" width="12.0"/>
    <col customWidth="1" min="4" max="4" width="18.0"/>
    <col customWidth="1" min="5" max="5" width="44.0"/>
    <col customWidth="1" min="6" max="8" width="34.0"/>
    <col customWidth="1" min="9" max="9" width="38.0"/>
    <col customWidth="1" min="10" max="10" width="14.0"/>
    <col customWidth="1" min="11" max="26" width="8.71"/>
  </cols>
  <sheetData>
    <row r="1" ht="18.0" customHeight="1">
      <c r="A1" s="126" t="s">
        <v>1040</v>
      </c>
      <c r="B1" s="126" t="s">
        <v>1233</v>
      </c>
      <c r="C1" s="126" t="s">
        <v>1234</v>
      </c>
      <c r="D1" s="126" t="s">
        <v>1235</v>
      </c>
      <c r="E1" s="126" t="s">
        <v>1236</v>
      </c>
      <c r="F1" s="126" t="s">
        <v>1237</v>
      </c>
      <c r="G1" s="126" t="s">
        <v>1238</v>
      </c>
      <c r="H1" s="126" t="s">
        <v>1239</v>
      </c>
      <c r="I1" s="126" t="s">
        <v>1240</v>
      </c>
      <c r="J1" s="126" t="s">
        <v>12</v>
      </c>
    </row>
    <row r="2" ht="18.0" customHeight="1">
      <c r="A2" s="121" t="s">
        <v>690</v>
      </c>
      <c r="B2" s="121" t="s">
        <v>1110</v>
      </c>
      <c r="C2" s="121" t="s">
        <v>871</v>
      </c>
      <c r="D2" s="121" t="s">
        <v>99</v>
      </c>
      <c r="E2" s="121" t="s">
        <v>1241</v>
      </c>
      <c r="F2" s="121" t="s">
        <v>1242</v>
      </c>
      <c r="G2" s="121" t="s">
        <v>1243</v>
      </c>
      <c r="H2" s="121" t="s">
        <v>1244</v>
      </c>
      <c r="I2" s="129" t="s">
        <v>1087</v>
      </c>
      <c r="J2" s="121" t="s">
        <v>993</v>
      </c>
    </row>
    <row r="3" ht="18.0" customHeight="1">
      <c r="A3" s="121" t="s">
        <v>146</v>
      </c>
      <c r="B3" s="121" t="s">
        <v>1245</v>
      </c>
      <c r="C3" s="121" t="s">
        <v>875</v>
      </c>
      <c r="D3" s="121" t="s">
        <v>99</v>
      </c>
      <c r="E3" s="121" t="s">
        <v>1246</v>
      </c>
      <c r="F3" s="121" t="s">
        <v>1247</v>
      </c>
      <c r="G3" s="121" t="s">
        <v>1248</v>
      </c>
      <c r="H3" s="121" t="s">
        <v>1249</v>
      </c>
      <c r="I3" s="129" t="s">
        <v>1059</v>
      </c>
      <c r="J3" s="121" t="s">
        <v>993</v>
      </c>
    </row>
    <row r="4" ht="18.0" customHeight="1">
      <c r="A4" s="121" t="s">
        <v>107</v>
      </c>
      <c r="B4" s="121" t="s">
        <v>1110</v>
      </c>
      <c r="C4" s="121" t="s">
        <v>875</v>
      </c>
      <c r="D4" s="121" t="s">
        <v>109</v>
      </c>
      <c r="E4" s="121" t="s">
        <v>1250</v>
      </c>
      <c r="F4" s="121" t="s">
        <v>1251</v>
      </c>
      <c r="G4" s="121" t="s">
        <v>1252</v>
      </c>
      <c r="H4" s="121" t="s">
        <v>1253</v>
      </c>
      <c r="I4" s="129" t="s">
        <v>1092</v>
      </c>
      <c r="J4" s="121" t="s">
        <v>993</v>
      </c>
    </row>
    <row r="5" ht="18.0" customHeight="1">
      <c r="A5" s="121" t="s">
        <v>183</v>
      </c>
      <c r="B5" s="121" t="s">
        <v>1245</v>
      </c>
      <c r="C5" s="121" t="s">
        <v>875</v>
      </c>
      <c r="D5" s="121" t="s">
        <v>331</v>
      </c>
      <c r="E5" s="121" t="s">
        <v>1254</v>
      </c>
      <c r="F5" s="121" t="s">
        <v>1255</v>
      </c>
      <c r="G5" s="121" t="s">
        <v>1256</v>
      </c>
      <c r="H5" s="121" t="s">
        <v>1257</v>
      </c>
      <c r="I5" s="121"/>
      <c r="J5" s="121" t="s">
        <v>993</v>
      </c>
    </row>
    <row r="6" ht="18.0" customHeight="1">
      <c r="A6" s="121" t="s">
        <v>886</v>
      </c>
      <c r="B6" s="121" t="s">
        <v>1110</v>
      </c>
      <c r="C6" s="121" t="s">
        <v>871</v>
      </c>
      <c r="D6" s="121" t="s">
        <v>99</v>
      </c>
      <c r="E6" s="121" t="s">
        <v>1258</v>
      </c>
      <c r="F6" s="121" t="s">
        <v>1259</v>
      </c>
      <c r="G6" s="121" t="s">
        <v>1260</v>
      </c>
      <c r="H6" s="121" t="s">
        <v>1261</v>
      </c>
      <c r="I6" s="121"/>
      <c r="J6" s="121" t="s">
        <v>993</v>
      </c>
    </row>
    <row r="7" ht="18.0" customHeight="1">
      <c r="A7" s="121" t="s">
        <v>1262</v>
      </c>
      <c r="B7" s="121" t="s">
        <v>1245</v>
      </c>
      <c r="C7" s="121" t="s">
        <v>1263</v>
      </c>
      <c r="D7" s="121" t="s">
        <v>927</v>
      </c>
      <c r="E7" s="121" t="s">
        <v>1264</v>
      </c>
      <c r="F7" s="121" t="s">
        <v>1265</v>
      </c>
      <c r="G7" s="121"/>
      <c r="H7" s="121" t="s">
        <v>1266</v>
      </c>
      <c r="I7" s="121"/>
      <c r="J7" s="121" t="s">
        <v>1267</v>
      </c>
    </row>
    <row r="8" ht="18.0" customHeight="1">
      <c r="A8" s="121" t="s">
        <v>703</v>
      </c>
      <c r="B8" s="121" t="s">
        <v>1110</v>
      </c>
      <c r="C8" s="121" t="s">
        <v>875</v>
      </c>
      <c r="D8" s="130" t="s">
        <v>1268</v>
      </c>
      <c r="E8" s="130" t="s">
        <v>1269</v>
      </c>
      <c r="F8" s="130" t="s">
        <v>1270</v>
      </c>
      <c r="G8" s="130" t="s">
        <v>1271</v>
      </c>
      <c r="H8" s="130" t="s">
        <v>1272</v>
      </c>
      <c r="I8" s="121"/>
      <c r="J8" s="121" t="s">
        <v>1273</v>
      </c>
    </row>
    <row r="9">
      <c r="B9" s="97"/>
      <c r="C9" s="97"/>
      <c r="D9" s="97"/>
      <c r="J9" s="97"/>
    </row>
    <row r="10">
      <c r="B10" s="97"/>
      <c r="C10" s="97"/>
      <c r="D10" s="97"/>
      <c r="J10" s="97"/>
    </row>
    <row r="11">
      <c r="B11" s="97"/>
      <c r="C11" s="97"/>
      <c r="D11" s="97"/>
      <c r="J11" s="97"/>
    </row>
    <row r="12">
      <c r="B12" s="97"/>
      <c r="C12" s="97"/>
      <c r="D12" s="97"/>
      <c r="J12" s="97"/>
    </row>
    <row r="13">
      <c r="B13" s="97"/>
      <c r="C13" s="97"/>
      <c r="D13" s="97"/>
      <c r="J13" s="97"/>
    </row>
    <row r="14">
      <c r="B14" s="97"/>
      <c r="C14" s="97"/>
      <c r="D14" s="97"/>
      <c r="J14" s="97"/>
    </row>
    <row r="15">
      <c r="B15" s="97"/>
      <c r="C15" s="97"/>
      <c r="D15" s="97"/>
      <c r="J15" s="97"/>
    </row>
    <row r="16">
      <c r="B16" s="97"/>
      <c r="C16" s="97"/>
      <c r="D16" s="97"/>
      <c r="J16" s="97"/>
    </row>
    <row r="17">
      <c r="B17" s="97"/>
      <c r="C17" s="97"/>
      <c r="D17" s="97"/>
      <c r="J17" s="97"/>
    </row>
    <row r="18">
      <c r="B18" s="97"/>
      <c r="C18" s="97"/>
      <c r="D18" s="97"/>
      <c r="J18" s="97"/>
    </row>
    <row r="19">
      <c r="B19" s="97"/>
      <c r="C19" s="97"/>
      <c r="D19" s="97"/>
      <c r="J19" s="97"/>
    </row>
    <row r="20">
      <c r="B20" s="97"/>
      <c r="C20" s="97"/>
      <c r="D20" s="97"/>
      <c r="J20" s="97"/>
    </row>
    <row r="21" ht="15.75" customHeight="1">
      <c r="B21" s="97"/>
      <c r="C21" s="97"/>
      <c r="D21" s="97"/>
      <c r="J21" s="97"/>
    </row>
    <row r="22" ht="15.75" customHeight="1">
      <c r="B22" s="97"/>
      <c r="C22" s="97"/>
      <c r="D22" s="97"/>
      <c r="J22" s="97"/>
    </row>
    <row r="23" ht="15.75" customHeight="1">
      <c r="B23" s="97"/>
      <c r="C23" s="97"/>
      <c r="D23" s="97"/>
      <c r="J23" s="97"/>
    </row>
    <row r="24" ht="15.75" customHeight="1">
      <c r="B24" s="97"/>
      <c r="C24" s="97"/>
      <c r="D24" s="97"/>
      <c r="J24" s="97"/>
    </row>
    <row r="25" ht="15.75" customHeight="1">
      <c r="B25" s="97"/>
      <c r="C25" s="97"/>
      <c r="D25" s="97"/>
      <c r="J25" s="97"/>
    </row>
    <row r="26" ht="15.75" customHeight="1">
      <c r="B26" s="97"/>
      <c r="C26" s="97"/>
      <c r="D26" s="97"/>
      <c r="J26" s="97"/>
    </row>
    <row r="27" ht="15.75" customHeight="1">
      <c r="B27" s="97"/>
      <c r="C27" s="97"/>
      <c r="D27" s="97"/>
      <c r="J27" s="97"/>
    </row>
    <row r="28" ht="15.75" customHeight="1">
      <c r="B28" s="97"/>
      <c r="C28" s="97"/>
      <c r="D28" s="97"/>
      <c r="J28" s="97"/>
    </row>
    <row r="29" ht="15.75" customHeight="1">
      <c r="B29" s="97"/>
      <c r="C29" s="97"/>
      <c r="D29" s="97"/>
      <c r="J29" s="97"/>
    </row>
    <row r="30" ht="15.75" customHeight="1">
      <c r="B30" s="97"/>
      <c r="C30" s="97"/>
      <c r="D30" s="97"/>
      <c r="J30" s="97"/>
    </row>
    <row r="31" ht="15.75" customHeight="1">
      <c r="B31" s="97"/>
      <c r="C31" s="97"/>
      <c r="D31" s="97"/>
      <c r="J31" s="97"/>
    </row>
    <row r="32" ht="15.75" customHeight="1">
      <c r="B32" s="97"/>
      <c r="C32" s="97"/>
      <c r="D32" s="97"/>
      <c r="J32" s="97"/>
    </row>
    <row r="33" ht="15.75" customHeight="1">
      <c r="B33" s="97"/>
      <c r="C33" s="97"/>
      <c r="D33" s="97"/>
      <c r="J33" s="97"/>
    </row>
    <row r="34" ht="15.75" customHeight="1">
      <c r="B34" s="97"/>
      <c r="C34" s="97"/>
      <c r="D34" s="97"/>
      <c r="J34" s="97"/>
    </row>
    <row r="35" ht="15.75" customHeight="1">
      <c r="B35" s="97"/>
      <c r="C35" s="97"/>
      <c r="D35" s="97"/>
      <c r="J35" s="97"/>
    </row>
    <row r="36" ht="15.75" customHeight="1">
      <c r="B36" s="97"/>
      <c r="C36" s="97"/>
      <c r="D36" s="97"/>
      <c r="J36" s="97"/>
    </row>
    <row r="37" ht="15.75" customHeight="1">
      <c r="B37" s="97"/>
      <c r="C37" s="97"/>
      <c r="D37" s="97"/>
      <c r="J37" s="97"/>
    </row>
    <row r="38" ht="15.75" customHeight="1">
      <c r="B38" s="97"/>
      <c r="C38" s="97"/>
      <c r="D38" s="97"/>
      <c r="J38" s="97"/>
    </row>
    <row r="39" ht="15.75" customHeight="1">
      <c r="B39" s="97"/>
      <c r="C39" s="97"/>
      <c r="D39" s="97"/>
      <c r="J39" s="97"/>
    </row>
    <row r="40" ht="15.75" customHeight="1">
      <c r="B40" s="97"/>
      <c r="C40" s="97"/>
      <c r="D40" s="97"/>
      <c r="J40" s="97"/>
    </row>
    <row r="41" ht="15.75" customHeight="1">
      <c r="B41" s="97"/>
      <c r="C41" s="97"/>
      <c r="D41" s="97"/>
      <c r="J41" s="97"/>
    </row>
    <row r="42" ht="15.75" customHeight="1">
      <c r="B42" s="97"/>
      <c r="C42" s="97"/>
      <c r="D42" s="97"/>
      <c r="J42" s="97"/>
    </row>
    <row r="43" ht="15.75" customHeight="1">
      <c r="B43" s="97"/>
      <c r="C43" s="97"/>
      <c r="D43" s="97"/>
      <c r="J43" s="97"/>
    </row>
    <row r="44" ht="15.75" customHeight="1">
      <c r="B44" s="97"/>
      <c r="C44" s="97"/>
      <c r="D44" s="97"/>
      <c r="J44" s="97"/>
    </row>
    <row r="45" ht="15.75" customHeight="1">
      <c r="B45" s="97"/>
      <c r="C45" s="97"/>
      <c r="D45" s="97"/>
      <c r="J45" s="97"/>
    </row>
    <row r="46" ht="15.75" customHeight="1">
      <c r="B46" s="97"/>
      <c r="C46" s="97"/>
      <c r="D46" s="97"/>
      <c r="J46" s="97"/>
    </row>
    <row r="47" ht="15.75" customHeight="1">
      <c r="B47" s="97"/>
      <c r="C47" s="97"/>
      <c r="D47" s="97"/>
      <c r="J47" s="97"/>
    </row>
    <row r="48" ht="15.75" customHeight="1">
      <c r="B48" s="97"/>
      <c r="C48" s="97"/>
      <c r="D48" s="97"/>
      <c r="J48" s="97"/>
    </row>
    <row r="49" ht="15.75" customHeight="1">
      <c r="B49" s="97"/>
      <c r="C49" s="97"/>
      <c r="D49" s="97"/>
      <c r="J49" s="97"/>
    </row>
    <row r="50" ht="15.75" customHeight="1">
      <c r="B50" s="97"/>
      <c r="C50" s="97"/>
      <c r="D50" s="97"/>
      <c r="J50" s="97"/>
    </row>
    <row r="51" ht="15.75" customHeight="1">
      <c r="B51" s="97"/>
      <c r="C51" s="97"/>
      <c r="D51" s="97"/>
      <c r="J51" s="97"/>
    </row>
    <row r="52" ht="15.75" customHeight="1">
      <c r="B52" s="97"/>
      <c r="C52" s="97"/>
      <c r="D52" s="97"/>
      <c r="J52" s="97"/>
    </row>
    <row r="53" ht="15.75" customHeight="1">
      <c r="B53" s="97"/>
      <c r="C53" s="97"/>
      <c r="D53" s="97"/>
      <c r="J53" s="97"/>
    </row>
    <row r="54" ht="15.75" customHeight="1">
      <c r="B54" s="97"/>
      <c r="C54" s="97"/>
      <c r="D54" s="97"/>
      <c r="J54" s="97"/>
    </row>
    <row r="55" ht="15.75" customHeight="1">
      <c r="B55" s="97"/>
      <c r="C55" s="97"/>
      <c r="D55" s="97"/>
      <c r="J55" s="97"/>
    </row>
    <row r="56" ht="15.75" customHeight="1">
      <c r="B56" s="97"/>
      <c r="C56" s="97"/>
      <c r="D56" s="97"/>
      <c r="J56" s="97"/>
    </row>
    <row r="57" ht="15.75" customHeight="1">
      <c r="B57" s="97"/>
      <c r="C57" s="97"/>
      <c r="D57" s="97"/>
      <c r="J57" s="97"/>
    </row>
    <row r="58" ht="15.75" customHeight="1">
      <c r="B58" s="97"/>
      <c r="C58" s="97"/>
      <c r="D58" s="97"/>
      <c r="J58" s="97"/>
    </row>
    <row r="59" ht="15.75" customHeight="1">
      <c r="B59" s="97"/>
      <c r="C59" s="97"/>
      <c r="D59" s="97"/>
      <c r="J59" s="97"/>
    </row>
    <row r="60" ht="15.75" customHeight="1">
      <c r="B60" s="97"/>
      <c r="C60" s="97"/>
      <c r="D60" s="97"/>
      <c r="J60" s="97"/>
    </row>
    <row r="61" ht="15.75" customHeight="1">
      <c r="B61" s="97"/>
      <c r="C61" s="97"/>
      <c r="D61" s="97"/>
      <c r="J61" s="97"/>
    </row>
    <row r="62" ht="15.75" customHeight="1">
      <c r="B62" s="97"/>
      <c r="C62" s="97"/>
      <c r="D62" s="97"/>
      <c r="J62" s="97"/>
    </row>
    <row r="63" ht="15.75" customHeight="1">
      <c r="B63" s="97"/>
      <c r="C63" s="97"/>
      <c r="D63" s="97"/>
      <c r="J63" s="97"/>
    </row>
    <row r="64" ht="15.75" customHeight="1">
      <c r="B64" s="97"/>
      <c r="C64" s="97"/>
      <c r="D64" s="97"/>
      <c r="J64" s="97"/>
    </row>
    <row r="65" ht="15.75" customHeight="1">
      <c r="B65" s="97"/>
      <c r="C65" s="97"/>
      <c r="D65" s="97"/>
      <c r="J65" s="97"/>
    </row>
    <row r="66" ht="15.75" customHeight="1">
      <c r="B66" s="97"/>
      <c r="C66" s="97"/>
      <c r="D66" s="97"/>
      <c r="J66" s="97"/>
    </row>
    <row r="67" ht="15.75" customHeight="1">
      <c r="B67" s="97"/>
      <c r="C67" s="97"/>
      <c r="D67" s="97"/>
      <c r="J67" s="97"/>
    </row>
    <row r="68" ht="15.75" customHeight="1">
      <c r="B68" s="97"/>
      <c r="C68" s="97"/>
      <c r="D68" s="97"/>
      <c r="J68" s="97"/>
    </row>
    <row r="69" ht="15.75" customHeight="1">
      <c r="B69" s="97"/>
      <c r="C69" s="97"/>
      <c r="D69" s="97"/>
      <c r="J69" s="97"/>
    </row>
    <row r="70" ht="15.75" customHeight="1">
      <c r="B70" s="97"/>
      <c r="C70" s="97"/>
      <c r="D70" s="97"/>
      <c r="J70" s="97"/>
    </row>
    <row r="71" ht="15.75" customHeight="1">
      <c r="B71" s="97"/>
      <c r="C71" s="97"/>
      <c r="D71" s="97"/>
      <c r="J71" s="97"/>
    </row>
    <row r="72" ht="15.75" customHeight="1">
      <c r="B72" s="97"/>
      <c r="C72" s="97"/>
      <c r="D72" s="97"/>
      <c r="J72" s="97"/>
    </row>
    <row r="73" ht="15.75" customHeight="1">
      <c r="B73" s="97"/>
      <c r="C73" s="97"/>
      <c r="D73" s="97"/>
      <c r="J73" s="97"/>
    </row>
    <row r="74" ht="15.75" customHeight="1">
      <c r="B74" s="97"/>
      <c r="C74" s="97"/>
      <c r="D74" s="97"/>
      <c r="J74" s="97"/>
    </row>
    <row r="75" ht="15.75" customHeight="1">
      <c r="B75" s="97"/>
      <c r="C75" s="97"/>
      <c r="D75" s="97"/>
      <c r="J75" s="97"/>
    </row>
    <row r="76" ht="15.75" customHeight="1">
      <c r="B76" s="97"/>
      <c r="C76" s="97"/>
      <c r="D76" s="97"/>
      <c r="J76" s="97"/>
    </row>
    <row r="77" ht="15.75" customHeight="1">
      <c r="B77" s="97"/>
      <c r="C77" s="97"/>
      <c r="D77" s="97"/>
      <c r="J77" s="97"/>
    </row>
    <row r="78" ht="15.75" customHeight="1">
      <c r="B78" s="97"/>
      <c r="C78" s="97"/>
      <c r="D78" s="97"/>
      <c r="J78" s="97"/>
    </row>
    <row r="79" ht="15.75" customHeight="1">
      <c r="B79" s="97"/>
      <c r="C79" s="97"/>
      <c r="D79" s="97"/>
      <c r="J79" s="97"/>
    </row>
    <row r="80" ht="15.75" customHeight="1">
      <c r="B80" s="97"/>
      <c r="C80" s="97"/>
      <c r="D80" s="97"/>
      <c r="J80" s="97"/>
    </row>
    <row r="81" ht="15.75" customHeight="1">
      <c r="B81" s="97"/>
      <c r="C81" s="97"/>
      <c r="D81" s="97"/>
      <c r="J81" s="97"/>
    </row>
    <row r="82" ht="15.75" customHeight="1">
      <c r="B82" s="97"/>
      <c r="C82" s="97"/>
      <c r="D82" s="97"/>
      <c r="J82" s="97"/>
    </row>
    <row r="83" ht="15.75" customHeight="1">
      <c r="B83" s="97"/>
      <c r="C83" s="97"/>
      <c r="D83" s="97"/>
      <c r="J83" s="97"/>
    </row>
    <row r="84" ht="15.75" customHeight="1">
      <c r="B84" s="97"/>
      <c r="C84" s="97"/>
      <c r="D84" s="97"/>
      <c r="J84" s="97"/>
    </row>
    <row r="85" ht="15.75" customHeight="1">
      <c r="B85" s="97"/>
      <c r="C85" s="97"/>
      <c r="D85" s="97"/>
      <c r="J85" s="97"/>
    </row>
    <row r="86" ht="15.75" customHeight="1">
      <c r="B86" s="97"/>
      <c r="C86" s="97"/>
      <c r="D86" s="97"/>
      <c r="J86" s="97"/>
    </row>
    <row r="87" ht="15.75" customHeight="1">
      <c r="B87" s="97"/>
      <c r="C87" s="97"/>
      <c r="D87" s="97"/>
      <c r="J87" s="97"/>
    </row>
    <row r="88" ht="15.75" customHeight="1">
      <c r="B88" s="97"/>
      <c r="C88" s="97"/>
      <c r="D88" s="97"/>
      <c r="J88" s="97"/>
    </row>
    <row r="89" ht="15.75" customHeight="1">
      <c r="B89" s="97"/>
      <c r="C89" s="97"/>
      <c r="D89" s="97"/>
      <c r="J89" s="97"/>
    </row>
    <row r="90" ht="15.75" customHeight="1">
      <c r="B90" s="97"/>
      <c r="C90" s="97"/>
      <c r="D90" s="97"/>
      <c r="J90" s="97"/>
    </row>
    <row r="91" ht="15.75" customHeight="1">
      <c r="B91" s="97"/>
      <c r="C91" s="97"/>
      <c r="D91" s="97"/>
      <c r="J91" s="97"/>
    </row>
    <row r="92" ht="15.75" customHeight="1">
      <c r="B92" s="97"/>
      <c r="C92" s="97"/>
      <c r="D92" s="97"/>
      <c r="J92" s="97"/>
    </row>
    <row r="93" ht="15.75" customHeight="1">
      <c r="B93" s="97"/>
      <c r="C93" s="97"/>
      <c r="D93" s="97"/>
      <c r="J93" s="97"/>
    </row>
    <row r="94" ht="15.75" customHeight="1">
      <c r="B94" s="97"/>
      <c r="C94" s="97"/>
      <c r="D94" s="97"/>
      <c r="J94" s="97"/>
    </row>
    <row r="95" ht="15.75" customHeight="1">
      <c r="B95" s="97"/>
      <c r="C95" s="97"/>
      <c r="D95" s="97"/>
      <c r="J95" s="97"/>
    </row>
    <row r="96" ht="15.75" customHeight="1">
      <c r="B96" s="97"/>
      <c r="C96" s="97"/>
      <c r="D96" s="97"/>
      <c r="J96" s="97"/>
    </row>
    <row r="97" ht="15.75" customHeight="1">
      <c r="B97" s="97"/>
      <c r="C97" s="97"/>
      <c r="D97" s="97"/>
      <c r="J97" s="97"/>
    </row>
    <row r="98" ht="15.75" customHeight="1">
      <c r="B98" s="97"/>
      <c r="C98" s="97"/>
      <c r="D98" s="97"/>
      <c r="J98" s="97"/>
    </row>
    <row r="99" ht="15.75" customHeight="1">
      <c r="B99" s="97"/>
      <c r="C99" s="97"/>
      <c r="D99" s="97"/>
      <c r="J99" s="97"/>
    </row>
    <row r="100" ht="15.75" customHeight="1">
      <c r="B100" s="97"/>
      <c r="C100" s="97"/>
      <c r="D100" s="97"/>
      <c r="J100" s="97"/>
    </row>
    <row r="101" ht="15.75" customHeight="1">
      <c r="B101" s="97"/>
      <c r="C101" s="97"/>
      <c r="D101" s="97"/>
      <c r="J101" s="97"/>
    </row>
    <row r="102" ht="15.75" customHeight="1">
      <c r="B102" s="97"/>
      <c r="C102" s="97"/>
      <c r="D102" s="97"/>
      <c r="J102" s="97"/>
    </row>
    <row r="103" ht="15.75" customHeight="1">
      <c r="B103" s="97"/>
      <c r="C103" s="97"/>
      <c r="D103" s="97"/>
      <c r="J103" s="97"/>
    </row>
    <row r="104" ht="15.75" customHeight="1">
      <c r="B104" s="97"/>
      <c r="C104" s="97"/>
      <c r="D104" s="97"/>
      <c r="J104" s="97"/>
    </row>
    <row r="105" ht="15.75" customHeight="1">
      <c r="B105" s="97"/>
      <c r="C105" s="97"/>
      <c r="D105" s="97"/>
      <c r="J105" s="97"/>
    </row>
    <row r="106" ht="15.75" customHeight="1">
      <c r="B106" s="97"/>
      <c r="C106" s="97"/>
      <c r="D106" s="97"/>
      <c r="J106" s="97"/>
    </row>
    <row r="107" ht="15.75" customHeight="1">
      <c r="B107" s="97"/>
      <c r="C107" s="97"/>
      <c r="D107" s="97"/>
      <c r="J107" s="97"/>
    </row>
    <row r="108" ht="15.75" customHeight="1">
      <c r="B108" s="97"/>
      <c r="C108" s="97"/>
      <c r="D108" s="97"/>
      <c r="J108" s="97"/>
    </row>
    <row r="109" ht="15.75" customHeight="1">
      <c r="B109" s="97"/>
      <c r="C109" s="97"/>
      <c r="D109" s="97"/>
      <c r="J109" s="97"/>
    </row>
    <row r="110" ht="15.75" customHeight="1">
      <c r="B110" s="97"/>
      <c r="C110" s="97"/>
      <c r="D110" s="97"/>
      <c r="J110" s="97"/>
    </row>
    <row r="111" ht="15.75" customHeight="1">
      <c r="B111" s="97"/>
      <c r="C111" s="97"/>
      <c r="D111" s="97"/>
      <c r="J111" s="97"/>
    </row>
    <row r="112" ht="15.75" customHeight="1">
      <c r="B112" s="97"/>
      <c r="C112" s="97"/>
      <c r="D112" s="97"/>
      <c r="J112" s="97"/>
    </row>
    <row r="113" ht="15.75" customHeight="1">
      <c r="B113" s="97"/>
      <c r="C113" s="97"/>
      <c r="D113" s="97"/>
      <c r="J113" s="97"/>
    </row>
    <row r="114" ht="15.75" customHeight="1">
      <c r="B114" s="97"/>
      <c r="C114" s="97"/>
      <c r="D114" s="97"/>
      <c r="J114" s="97"/>
    </row>
    <row r="115" ht="15.75" customHeight="1">
      <c r="B115" s="97"/>
      <c r="C115" s="97"/>
      <c r="D115" s="97"/>
      <c r="J115" s="97"/>
    </row>
    <row r="116" ht="15.75" customHeight="1">
      <c r="B116" s="97"/>
      <c r="C116" s="97"/>
      <c r="D116" s="97"/>
      <c r="J116" s="97"/>
    </row>
    <row r="117" ht="15.75" customHeight="1">
      <c r="B117" s="97"/>
      <c r="C117" s="97"/>
      <c r="D117" s="97"/>
      <c r="J117" s="97"/>
    </row>
    <row r="118" ht="15.75" customHeight="1">
      <c r="B118" s="97"/>
      <c r="C118" s="97"/>
      <c r="D118" s="97"/>
      <c r="J118" s="97"/>
    </row>
    <row r="119" ht="15.75" customHeight="1">
      <c r="B119" s="97"/>
      <c r="C119" s="97"/>
      <c r="D119" s="97"/>
      <c r="J119" s="97"/>
    </row>
    <row r="120" ht="15.75" customHeight="1">
      <c r="B120" s="97"/>
      <c r="C120" s="97"/>
      <c r="D120" s="97"/>
      <c r="J120" s="97"/>
    </row>
    <row r="121" ht="15.75" customHeight="1">
      <c r="B121" s="97"/>
      <c r="C121" s="97"/>
      <c r="D121" s="97"/>
      <c r="J121" s="97"/>
    </row>
    <row r="122" ht="15.75" customHeight="1">
      <c r="B122" s="97"/>
      <c r="C122" s="97"/>
      <c r="D122" s="97"/>
      <c r="J122" s="97"/>
    </row>
    <row r="123" ht="15.75" customHeight="1">
      <c r="B123" s="97"/>
      <c r="C123" s="97"/>
      <c r="D123" s="97"/>
      <c r="J123" s="97"/>
    </row>
    <row r="124" ht="15.75" customHeight="1">
      <c r="B124" s="97"/>
      <c r="C124" s="97"/>
      <c r="D124" s="97"/>
      <c r="J124" s="97"/>
    </row>
    <row r="125" ht="15.75" customHeight="1">
      <c r="B125" s="97"/>
      <c r="C125" s="97"/>
      <c r="D125" s="97"/>
      <c r="J125" s="97"/>
    </row>
    <row r="126" ht="15.75" customHeight="1">
      <c r="B126" s="97"/>
      <c r="C126" s="97"/>
      <c r="D126" s="97"/>
      <c r="J126" s="97"/>
    </row>
    <row r="127" ht="15.75" customHeight="1">
      <c r="B127" s="97"/>
      <c r="C127" s="97"/>
      <c r="D127" s="97"/>
      <c r="J127" s="97"/>
    </row>
    <row r="128" ht="15.75" customHeight="1">
      <c r="B128" s="97"/>
      <c r="C128" s="97"/>
      <c r="D128" s="97"/>
      <c r="J128" s="97"/>
    </row>
    <row r="129" ht="15.75" customHeight="1">
      <c r="B129" s="97"/>
      <c r="C129" s="97"/>
      <c r="D129" s="97"/>
      <c r="J129" s="97"/>
    </row>
    <row r="130" ht="15.75" customHeight="1">
      <c r="B130" s="97"/>
      <c r="C130" s="97"/>
      <c r="D130" s="97"/>
      <c r="J130" s="97"/>
    </row>
    <row r="131" ht="15.75" customHeight="1">
      <c r="B131" s="97"/>
      <c r="C131" s="97"/>
      <c r="D131" s="97"/>
      <c r="J131" s="97"/>
    </row>
    <row r="132" ht="15.75" customHeight="1">
      <c r="B132" s="97"/>
      <c r="C132" s="97"/>
      <c r="D132" s="97"/>
      <c r="J132" s="97"/>
    </row>
    <row r="133" ht="15.75" customHeight="1">
      <c r="B133" s="97"/>
      <c r="C133" s="97"/>
      <c r="D133" s="97"/>
      <c r="J133" s="97"/>
    </row>
    <row r="134" ht="15.75" customHeight="1">
      <c r="B134" s="97"/>
      <c r="C134" s="97"/>
      <c r="D134" s="97"/>
      <c r="J134" s="97"/>
    </row>
    <row r="135" ht="15.75" customHeight="1">
      <c r="B135" s="97"/>
      <c r="C135" s="97"/>
      <c r="D135" s="97"/>
      <c r="J135" s="97"/>
    </row>
    <row r="136" ht="15.75" customHeight="1">
      <c r="B136" s="97"/>
      <c r="C136" s="97"/>
      <c r="D136" s="97"/>
      <c r="J136" s="97"/>
    </row>
    <row r="137" ht="15.75" customHeight="1">
      <c r="B137" s="97"/>
      <c r="C137" s="97"/>
      <c r="D137" s="97"/>
      <c r="J137" s="97"/>
    </row>
    <row r="138" ht="15.75" customHeight="1">
      <c r="B138" s="97"/>
      <c r="C138" s="97"/>
      <c r="D138" s="97"/>
      <c r="J138" s="97"/>
    </row>
    <row r="139" ht="15.75" customHeight="1">
      <c r="B139" s="97"/>
      <c r="C139" s="97"/>
      <c r="D139" s="97"/>
      <c r="J139" s="97"/>
    </row>
    <row r="140" ht="15.75" customHeight="1">
      <c r="B140" s="97"/>
      <c r="C140" s="97"/>
      <c r="D140" s="97"/>
      <c r="J140" s="97"/>
    </row>
    <row r="141" ht="15.75" customHeight="1">
      <c r="B141" s="97"/>
      <c r="C141" s="97"/>
      <c r="D141" s="97"/>
      <c r="J141" s="97"/>
    </row>
    <row r="142" ht="15.75" customHeight="1">
      <c r="B142" s="97"/>
      <c r="C142" s="97"/>
      <c r="D142" s="97"/>
      <c r="J142" s="97"/>
    </row>
    <row r="143" ht="15.75" customHeight="1">
      <c r="B143" s="97"/>
      <c r="C143" s="97"/>
      <c r="D143" s="97"/>
      <c r="J143" s="97"/>
    </row>
    <row r="144" ht="15.75" customHeight="1">
      <c r="B144" s="97"/>
      <c r="C144" s="97"/>
      <c r="D144" s="97"/>
      <c r="J144" s="97"/>
    </row>
    <row r="145" ht="15.75" customHeight="1">
      <c r="B145" s="97"/>
      <c r="C145" s="97"/>
      <c r="D145" s="97"/>
      <c r="J145" s="97"/>
    </row>
    <row r="146" ht="15.75" customHeight="1">
      <c r="B146" s="97"/>
      <c r="C146" s="97"/>
      <c r="D146" s="97"/>
      <c r="J146" s="97"/>
    </row>
    <row r="147" ht="15.75" customHeight="1">
      <c r="B147" s="97"/>
      <c r="C147" s="97"/>
      <c r="D147" s="97"/>
      <c r="J147" s="97"/>
    </row>
    <row r="148" ht="15.75" customHeight="1">
      <c r="B148" s="97"/>
      <c r="C148" s="97"/>
      <c r="D148" s="97"/>
      <c r="J148" s="97"/>
    </row>
    <row r="149" ht="15.75" customHeight="1">
      <c r="B149" s="97"/>
      <c r="C149" s="97"/>
      <c r="D149" s="97"/>
      <c r="J149" s="97"/>
    </row>
    <row r="150" ht="15.75" customHeight="1">
      <c r="B150" s="97"/>
      <c r="C150" s="97"/>
      <c r="D150" s="97"/>
      <c r="J150" s="97"/>
    </row>
    <row r="151" ht="15.75" customHeight="1">
      <c r="B151" s="97"/>
      <c r="C151" s="97"/>
      <c r="D151" s="97"/>
      <c r="J151" s="97"/>
    </row>
    <row r="152" ht="15.75" customHeight="1">
      <c r="B152" s="97"/>
      <c r="C152" s="97"/>
      <c r="D152" s="97"/>
      <c r="J152" s="97"/>
    </row>
    <row r="153" ht="15.75" customHeight="1">
      <c r="B153" s="97"/>
      <c r="C153" s="97"/>
      <c r="D153" s="97"/>
      <c r="J153" s="97"/>
    </row>
    <row r="154" ht="15.75" customHeight="1">
      <c r="B154" s="97"/>
      <c r="C154" s="97"/>
      <c r="D154" s="97"/>
      <c r="J154" s="97"/>
    </row>
    <row r="155" ht="15.75" customHeight="1">
      <c r="B155" s="97"/>
      <c r="C155" s="97"/>
      <c r="D155" s="97"/>
      <c r="J155" s="97"/>
    </row>
    <row r="156" ht="15.75" customHeight="1">
      <c r="B156" s="97"/>
      <c r="C156" s="97"/>
      <c r="D156" s="97"/>
      <c r="J156" s="97"/>
    </row>
    <row r="157" ht="15.75" customHeight="1">
      <c r="B157" s="97"/>
      <c r="C157" s="97"/>
      <c r="D157" s="97"/>
      <c r="J157" s="97"/>
    </row>
    <row r="158" ht="15.75" customHeight="1">
      <c r="B158" s="97"/>
      <c r="C158" s="97"/>
      <c r="D158" s="97"/>
      <c r="J158" s="97"/>
    </row>
    <row r="159" ht="15.75" customHeight="1">
      <c r="B159" s="97"/>
      <c r="C159" s="97"/>
      <c r="D159" s="97"/>
      <c r="J159" s="97"/>
    </row>
    <row r="160" ht="15.75" customHeight="1">
      <c r="B160" s="97"/>
      <c r="C160" s="97"/>
      <c r="D160" s="97"/>
      <c r="J160" s="97"/>
    </row>
    <row r="161" ht="15.75" customHeight="1">
      <c r="B161" s="97"/>
      <c r="C161" s="97"/>
      <c r="D161" s="97"/>
      <c r="J161" s="97"/>
    </row>
    <row r="162" ht="15.75" customHeight="1">
      <c r="B162" s="97"/>
      <c r="C162" s="97"/>
      <c r="D162" s="97"/>
      <c r="J162" s="97"/>
    </row>
    <row r="163" ht="15.75" customHeight="1">
      <c r="B163" s="97"/>
      <c r="C163" s="97"/>
      <c r="D163" s="97"/>
      <c r="J163" s="97"/>
    </row>
    <row r="164" ht="15.75" customHeight="1">
      <c r="B164" s="97"/>
      <c r="C164" s="97"/>
      <c r="D164" s="97"/>
      <c r="J164" s="97"/>
    </row>
    <row r="165" ht="15.75" customHeight="1">
      <c r="B165" s="97"/>
      <c r="C165" s="97"/>
      <c r="D165" s="97"/>
      <c r="J165" s="97"/>
    </row>
    <row r="166" ht="15.75" customHeight="1">
      <c r="B166" s="97"/>
      <c r="C166" s="97"/>
      <c r="D166" s="97"/>
      <c r="J166" s="97"/>
    </row>
    <row r="167" ht="15.75" customHeight="1">
      <c r="B167" s="97"/>
      <c r="C167" s="97"/>
      <c r="D167" s="97"/>
      <c r="J167" s="97"/>
    </row>
    <row r="168" ht="15.75" customHeight="1">
      <c r="B168" s="97"/>
      <c r="C168" s="97"/>
      <c r="D168" s="97"/>
      <c r="J168" s="97"/>
    </row>
    <row r="169" ht="15.75" customHeight="1">
      <c r="B169" s="97"/>
      <c r="C169" s="97"/>
      <c r="D169" s="97"/>
      <c r="J169" s="97"/>
    </row>
    <row r="170" ht="15.75" customHeight="1">
      <c r="B170" s="97"/>
      <c r="C170" s="97"/>
      <c r="D170" s="97"/>
      <c r="J170" s="97"/>
    </row>
    <row r="171" ht="15.75" customHeight="1">
      <c r="B171" s="97"/>
      <c r="C171" s="97"/>
      <c r="D171" s="97"/>
      <c r="J171" s="97"/>
    </row>
    <row r="172" ht="15.75" customHeight="1">
      <c r="B172" s="97"/>
      <c r="C172" s="97"/>
      <c r="D172" s="97"/>
      <c r="J172" s="97"/>
    </row>
    <row r="173" ht="15.75" customHeight="1">
      <c r="B173" s="97"/>
      <c r="C173" s="97"/>
      <c r="D173" s="97"/>
      <c r="J173" s="97"/>
    </row>
    <row r="174" ht="15.75" customHeight="1">
      <c r="B174" s="97"/>
      <c r="C174" s="97"/>
      <c r="D174" s="97"/>
      <c r="J174" s="97"/>
    </row>
    <row r="175" ht="15.75" customHeight="1">
      <c r="B175" s="97"/>
      <c r="C175" s="97"/>
      <c r="D175" s="97"/>
      <c r="J175" s="97"/>
    </row>
    <row r="176" ht="15.75" customHeight="1">
      <c r="B176" s="97"/>
      <c r="C176" s="97"/>
      <c r="D176" s="97"/>
      <c r="J176" s="97"/>
    </row>
    <row r="177" ht="15.75" customHeight="1">
      <c r="B177" s="97"/>
      <c r="C177" s="97"/>
      <c r="D177" s="97"/>
      <c r="J177" s="97"/>
    </row>
    <row r="178" ht="15.75" customHeight="1">
      <c r="B178" s="97"/>
      <c r="C178" s="97"/>
      <c r="D178" s="97"/>
      <c r="J178" s="97"/>
    </row>
    <row r="179" ht="15.75" customHeight="1">
      <c r="B179" s="97"/>
      <c r="C179" s="97"/>
      <c r="D179" s="97"/>
      <c r="J179" s="97"/>
    </row>
    <row r="180" ht="15.75" customHeight="1">
      <c r="B180" s="97"/>
      <c r="C180" s="97"/>
      <c r="D180" s="97"/>
      <c r="J180" s="97"/>
    </row>
    <row r="181" ht="15.75" customHeight="1">
      <c r="B181" s="97"/>
      <c r="C181" s="97"/>
      <c r="D181" s="97"/>
      <c r="J181" s="97"/>
    </row>
    <row r="182" ht="15.75" customHeight="1">
      <c r="B182" s="97"/>
      <c r="C182" s="97"/>
      <c r="D182" s="97"/>
      <c r="J182" s="97"/>
    </row>
    <row r="183" ht="15.75" customHeight="1">
      <c r="B183" s="97"/>
      <c r="C183" s="97"/>
      <c r="D183" s="97"/>
      <c r="J183" s="97"/>
    </row>
    <row r="184" ht="15.75" customHeight="1">
      <c r="B184" s="97"/>
      <c r="C184" s="97"/>
      <c r="D184" s="97"/>
      <c r="J184" s="97"/>
    </row>
    <row r="185" ht="15.75" customHeight="1">
      <c r="B185" s="97"/>
      <c r="C185" s="97"/>
      <c r="D185" s="97"/>
      <c r="J185" s="97"/>
    </row>
    <row r="186" ht="15.75" customHeight="1">
      <c r="B186" s="97"/>
      <c r="C186" s="97"/>
      <c r="D186" s="97"/>
      <c r="J186" s="97"/>
    </row>
    <row r="187" ht="15.75" customHeight="1">
      <c r="B187" s="97"/>
      <c r="C187" s="97"/>
      <c r="D187" s="97"/>
      <c r="J187" s="97"/>
    </row>
    <row r="188" ht="15.75" customHeight="1">
      <c r="B188" s="97"/>
      <c r="C188" s="97"/>
      <c r="D188" s="97"/>
      <c r="J188" s="97"/>
    </row>
    <row r="189" ht="15.75" customHeight="1">
      <c r="B189" s="97"/>
      <c r="C189" s="97"/>
      <c r="D189" s="97"/>
      <c r="J189" s="97"/>
    </row>
    <row r="190" ht="15.75" customHeight="1">
      <c r="B190" s="97"/>
      <c r="C190" s="97"/>
      <c r="D190" s="97"/>
      <c r="J190" s="97"/>
    </row>
    <row r="191" ht="15.75" customHeight="1">
      <c r="B191" s="97"/>
      <c r="C191" s="97"/>
      <c r="D191" s="97"/>
      <c r="J191" s="97"/>
    </row>
    <row r="192" ht="15.75" customHeight="1">
      <c r="B192" s="97"/>
      <c r="C192" s="97"/>
      <c r="D192" s="97"/>
      <c r="J192" s="97"/>
    </row>
    <row r="193" ht="15.75" customHeight="1">
      <c r="B193" s="97"/>
      <c r="C193" s="97"/>
      <c r="D193" s="97"/>
      <c r="J193" s="97"/>
    </row>
    <row r="194" ht="15.75" customHeight="1">
      <c r="B194" s="97"/>
      <c r="C194" s="97"/>
      <c r="D194" s="97"/>
      <c r="J194" s="97"/>
    </row>
    <row r="195" ht="15.75" customHeight="1">
      <c r="B195" s="97"/>
      <c r="C195" s="97"/>
      <c r="D195" s="97"/>
      <c r="J195" s="97"/>
    </row>
    <row r="196" ht="15.75" customHeight="1">
      <c r="B196" s="97"/>
      <c r="C196" s="97"/>
      <c r="D196" s="97"/>
      <c r="J196" s="97"/>
    </row>
    <row r="197" ht="15.75" customHeight="1">
      <c r="B197" s="97"/>
      <c r="C197" s="97"/>
      <c r="D197" s="97"/>
      <c r="J197" s="97"/>
    </row>
    <row r="198" ht="15.75" customHeight="1">
      <c r="B198" s="97"/>
      <c r="C198" s="97"/>
      <c r="D198" s="97"/>
      <c r="J198" s="97"/>
    </row>
    <row r="199" ht="15.75" customHeight="1">
      <c r="B199" s="97"/>
      <c r="C199" s="97"/>
      <c r="D199" s="97"/>
      <c r="J199" s="97"/>
    </row>
    <row r="200" ht="15.75" customHeight="1">
      <c r="B200" s="97"/>
      <c r="C200" s="97"/>
      <c r="D200" s="97"/>
      <c r="J200" s="97"/>
    </row>
    <row r="201" ht="15.75" customHeight="1">
      <c r="B201" s="97"/>
      <c r="C201" s="97"/>
      <c r="D201" s="97"/>
      <c r="J201" s="97"/>
    </row>
    <row r="202" ht="15.75" customHeight="1">
      <c r="B202" s="97"/>
      <c r="C202" s="97"/>
      <c r="D202" s="97"/>
      <c r="J202" s="97"/>
    </row>
    <row r="203" ht="15.75" customHeight="1">
      <c r="B203" s="97"/>
      <c r="C203" s="97"/>
      <c r="D203" s="97"/>
      <c r="J203" s="97"/>
    </row>
    <row r="204" ht="15.75" customHeight="1">
      <c r="B204" s="97"/>
      <c r="C204" s="97"/>
      <c r="D204" s="97"/>
      <c r="J204" s="97"/>
    </row>
    <row r="205" ht="15.75" customHeight="1">
      <c r="B205" s="97"/>
      <c r="C205" s="97"/>
      <c r="D205" s="97"/>
      <c r="J205" s="97"/>
    </row>
    <row r="206" ht="15.75" customHeight="1">
      <c r="B206" s="97"/>
      <c r="C206" s="97"/>
      <c r="D206" s="97"/>
      <c r="J206" s="97"/>
    </row>
    <row r="207" ht="15.75" customHeight="1">
      <c r="B207" s="97"/>
      <c r="C207" s="97"/>
      <c r="D207" s="97"/>
      <c r="J207" s="97"/>
    </row>
    <row r="208" ht="15.75" customHeight="1">
      <c r="B208" s="97"/>
      <c r="C208" s="97"/>
      <c r="D208" s="97"/>
      <c r="J208" s="97"/>
    </row>
    <row r="209" ht="15.75" customHeight="1">
      <c r="B209" s="97"/>
      <c r="C209" s="97"/>
      <c r="D209" s="97"/>
      <c r="J209" s="97"/>
    </row>
    <row r="210" ht="15.75" customHeight="1">
      <c r="B210" s="97"/>
      <c r="C210" s="97"/>
      <c r="D210" s="97"/>
      <c r="J210" s="97"/>
    </row>
    <row r="211" ht="15.75" customHeight="1">
      <c r="B211" s="97"/>
      <c r="C211" s="97"/>
      <c r="D211" s="97"/>
      <c r="J211" s="97"/>
    </row>
    <row r="212" ht="15.75" customHeight="1">
      <c r="B212" s="97"/>
      <c r="C212" s="97"/>
      <c r="D212" s="97"/>
      <c r="J212" s="97"/>
    </row>
    <row r="213" ht="15.75" customHeight="1">
      <c r="B213" s="97"/>
      <c r="C213" s="97"/>
      <c r="D213" s="97"/>
      <c r="J213" s="97"/>
    </row>
    <row r="214" ht="15.75" customHeight="1">
      <c r="B214" s="97"/>
      <c r="C214" s="97"/>
      <c r="D214" s="97"/>
      <c r="J214" s="97"/>
    </row>
    <row r="215" ht="15.75" customHeight="1">
      <c r="B215" s="97"/>
      <c r="C215" s="97"/>
      <c r="D215" s="97"/>
      <c r="J215" s="97"/>
    </row>
    <row r="216" ht="15.75" customHeight="1">
      <c r="B216" s="97"/>
      <c r="C216" s="97"/>
      <c r="D216" s="97"/>
      <c r="J216" s="97"/>
    </row>
    <row r="217" ht="15.75" customHeight="1">
      <c r="B217" s="97"/>
      <c r="C217" s="97"/>
      <c r="D217" s="97"/>
      <c r="J217" s="97"/>
    </row>
    <row r="218" ht="15.75" customHeight="1">
      <c r="B218" s="97"/>
      <c r="C218" s="97"/>
      <c r="D218" s="97"/>
      <c r="J218" s="97"/>
    </row>
    <row r="219" ht="15.75" customHeight="1">
      <c r="B219" s="97"/>
      <c r="C219" s="97"/>
      <c r="D219" s="97"/>
      <c r="J219" s="97"/>
    </row>
    <row r="220" ht="15.75" customHeight="1">
      <c r="B220" s="97"/>
      <c r="C220" s="97"/>
      <c r="D220" s="97"/>
      <c r="J220" s="97"/>
    </row>
    <row r="221" ht="15.75" customHeight="1">
      <c r="B221" s="97"/>
      <c r="C221" s="97"/>
      <c r="D221" s="97"/>
      <c r="J221" s="97"/>
    </row>
    <row r="222" ht="15.75" customHeight="1">
      <c r="B222" s="97"/>
      <c r="C222" s="97"/>
      <c r="D222" s="97"/>
      <c r="J222" s="97"/>
    </row>
    <row r="223" ht="15.75" customHeight="1">
      <c r="B223" s="97"/>
      <c r="C223" s="97"/>
      <c r="D223" s="97"/>
      <c r="J223" s="97"/>
    </row>
    <row r="224" ht="15.75" customHeight="1">
      <c r="B224" s="97"/>
      <c r="C224" s="97"/>
      <c r="D224" s="97"/>
      <c r="J224" s="97"/>
    </row>
    <row r="225" ht="15.75" customHeight="1">
      <c r="B225" s="97"/>
      <c r="C225" s="97"/>
      <c r="D225" s="97"/>
      <c r="J225" s="97"/>
    </row>
    <row r="226" ht="15.75" customHeight="1">
      <c r="B226" s="97"/>
      <c r="C226" s="97"/>
      <c r="D226" s="97"/>
      <c r="J226" s="97"/>
    </row>
    <row r="227" ht="15.75" customHeight="1">
      <c r="B227" s="97"/>
      <c r="C227" s="97"/>
      <c r="D227" s="97"/>
      <c r="J227" s="97"/>
    </row>
    <row r="228" ht="15.75" customHeight="1">
      <c r="B228" s="97"/>
      <c r="C228" s="97"/>
      <c r="D228" s="97"/>
      <c r="J228" s="97"/>
    </row>
    <row r="229" ht="15.75" customHeight="1">
      <c r="B229" s="97"/>
      <c r="C229" s="97"/>
      <c r="D229" s="97"/>
      <c r="J229" s="97"/>
    </row>
    <row r="230" ht="15.75" customHeight="1">
      <c r="B230" s="97"/>
      <c r="C230" s="97"/>
      <c r="D230" s="97"/>
      <c r="J230" s="97"/>
    </row>
    <row r="231" ht="15.75" customHeight="1">
      <c r="B231" s="97"/>
      <c r="C231" s="97"/>
      <c r="D231" s="97"/>
      <c r="J231" s="97"/>
    </row>
    <row r="232" ht="15.75" customHeight="1">
      <c r="B232" s="97"/>
      <c r="C232" s="97"/>
      <c r="D232" s="97"/>
      <c r="J232" s="97"/>
    </row>
    <row r="233" ht="15.75" customHeight="1">
      <c r="B233" s="97"/>
      <c r="C233" s="97"/>
      <c r="D233" s="97"/>
      <c r="J233" s="97"/>
    </row>
    <row r="234" ht="15.75" customHeight="1">
      <c r="B234" s="97"/>
      <c r="C234" s="97"/>
      <c r="D234" s="97"/>
      <c r="J234" s="97"/>
    </row>
    <row r="235" ht="15.75" customHeight="1">
      <c r="B235" s="97"/>
      <c r="C235" s="97"/>
      <c r="D235" s="97"/>
      <c r="J235" s="97"/>
    </row>
    <row r="236" ht="15.75" customHeight="1">
      <c r="B236" s="97"/>
      <c r="C236" s="97"/>
      <c r="D236" s="97"/>
      <c r="J236" s="97"/>
    </row>
    <row r="237" ht="15.75" customHeight="1">
      <c r="B237" s="97"/>
      <c r="C237" s="97"/>
      <c r="D237" s="97"/>
      <c r="J237" s="97"/>
    </row>
    <row r="238" ht="15.75" customHeight="1">
      <c r="B238" s="97"/>
      <c r="C238" s="97"/>
      <c r="D238" s="97"/>
      <c r="J238" s="97"/>
    </row>
    <row r="239" ht="15.75" customHeight="1">
      <c r="B239" s="97"/>
      <c r="C239" s="97"/>
      <c r="D239" s="97"/>
      <c r="J239" s="97"/>
    </row>
    <row r="240" ht="15.75" customHeight="1">
      <c r="B240" s="97"/>
      <c r="C240" s="97"/>
      <c r="D240" s="97"/>
      <c r="J240" s="97"/>
    </row>
    <row r="241" ht="15.75" customHeight="1">
      <c r="B241" s="97"/>
      <c r="C241" s="97"/>
      <c r="D241" s="97"/>
      <c r="J241" s="97"/>
    </row>
    <row r="242" ht="15.75" customHeight="1">
      <c r="B242" s="97"/>
      <c r="C242" s="97"/>
      <c r="D242" s="97"/>
      <c r="J242" s="97"/>
    </row>
    <row r="243" ht="15.75" customHeight="1">
      <c r="B243" s="97"/>
      <c r="C243" s="97"/>
      <c r="D243" s="97"/>
      <c r="J243" s="97"/>
    </row>
    <row r="244" ht="15.75" customHeight="1">
      <c r="B244" s="97"/>
      <c r="C244" s="97"/>
      <c r="D244" s="97"/>
      <c r="J244" s="97"/>
    </row>
    <row r="245" ht="15.75" customHeight="1">
      <c r="B245" s="97"/>
      <c r="C245" s="97"/>
      <c r="D245" s="97"/>
      <c r="J245" s="97"/>
    </row>
    <row r="246" ht="15.75" customHeight="1">
      <c r="B246" s="97"/>
      <c r="C246" s="97"/>
      <c r="D246" s="97"/>
      <c r="J246" s="97"/>
    </row>
    <row r="247" ht="15.75" customHeight="1">
      <c r="B247" s="97"/>
      <c r="C247" s="97"/>
      <c r="D247" s="97"/>
      <c r="J247" s="97"/>
    </row>
    <row r="248" ht="15.75" customHeight="1">
      <c r="B248" s="97"/>
      <c r="C248" s="97"/>
      <c r="D248" s="97"/>
      <c r="J248" s="97"/>
    </row>
    <row r="249" ht="15.75" customHeight="1">
      <c r="B249" s="97"/>
      <c r="C249" s="97"/>
      <c r="D249" s="97"/>
      <c r="J249" s="97"/>
    </row>
    <row r="250" ht="15.75" customHeight="1">
      <c r="B250" s="97"/>
      <c r="C250" s="97"/>
      <c r="D250" s="97"/>
      <c r="J250" s="97"/>
    </row>
    <row r="251" ht="15.75" customHeight="1">
      <c r="B251" s="97"/>
      <c r="C251" s="97"/>
      <c r="D251" s="97"/>
      <c r="J251" s="97"/>
    </row>
    <row r="252" ht="15.75" customHeight="1">
      <c r="B252" s="97"/>
      <c r="C252" s="97"/>
      <c r="D252" s="97"/>
      <c r="J252" s="97"/>
    </row>
    <row r="253" ht="15.75" customHeight="1">
      <c r="B253" s="97"/>
      <c r="C253" s="97"/>
      <c r="D253" s="97"/>
      <c r="J253" s="97"/>
    </row>
    <row r="254" ht="15.75" customHeight="1">
      <c r="B254" s="97"/>
      <c r="C254" s="97"/>
      <c r="D254" s="97"/>
      <c r="J254" s="97"/>
    </row>
    <row r="255" ht="15.75" customHeight="1">
      <c r="B255" s="97"/>
      <c r="C255" s="97"/>
      <c r="D255" s="97"/>
      <c r="J255" s="97"/>
    </row>
    <row r="256" ht="15.75" customHeight="1">
      <c r="B256" s="97"/>
      <c r="C256" s="97"/>
      <c r="D256" s="97"/>
      <c r="J256" s="97"/>
    </row>
    <row r="257" ht="15.75" customHeight="1">
      <c r="B257" s="97"/>
      <c r="C257" s="97"/>
      <c r="D257" s="97"/>
      <c r="J257" s="97"/>
    </row>
    <row r="258" ht="15.75" customHeight="1">
      <c r="B258" s="97"/>
      <c r="C258" s="97"/>
      <c r="D258" s="97"/>
      <c r="J258" s="97"/>
    </row>
    <row r="259" ht="15.75" customHeight="1">
      <c r="B259" s="97"/>
      <c r="C259" s="97"/>
      <c r="D259" s="97"/>
      <c r="J259" s="97"/>
    </row>
    <row r="260" ht="15.75" customHeight="1">
      <c r="B260" s="97"/>
      <c r="C260" s="97"/>
      <c r="D260" s="97"/>
      <c r="J260" s="97"/>
    </row>
    <row r="261" ht="15.75" customHeight="1">
      <c r="B261" s="97"/>
      <c r="C261" s="97"/>
      <c r="D261" s="97"/>
      <c r="J261" s="97"/>
    </row>
    <row r="262" ht="15.75" customHeight="1">
      <c r="B262" s="97"/>
      <c r="C262" s="97"/>
      <c r="D262" s="97"/>
      <c r="J262" s="97"/>
    </row>
    <row r="263" ht="15.75" customHeight="1">
      <c r="B263" s="97"/>
      <c r="C263" s="97"/>
      <c r="D263" s="97"/>
      <c r="J263" s="97"/>
    </row>
    <row r="264" ht="15.75" customHeight="1">
      <c r="B264" s="97"/>
      <c r="C264" s="97"/>
      <c r="D264" s="97"/>
      <c r="J264" s="97"/>
    </row>
    <row r="265" ht="15.75" customHeight="1">
      <c r="B265" s="97"/>
      <c r="C265" s="97"/>
      <c r="D265" s="97"/>
      <c r="J265" s="97"/>
    </row>
    <row r="266" ht="15.75" customHeight="1">
      <c r="B266" s="97"/>
      <c r="C266" s="97"/>
      <c r="D266" s="97"/>
      <c r="J266" s="97"/>
    </row>
    <row r="267" ht="15.75" customHeight="1">
      <c r="B267" s="97"/>
      <c r="C267" s="97"/>
      <c r="D267" s="97"/>
      <c r="J267" s="97"/>
    </row>
    <row r="268" ht="15.75" customHeight="1">
      <c r="B268" s="97"/>
      <c r="C268" s="97"/>
      <c r="D268" s="97"/>
      <c r="J268" s="97"/>
    </row>
    <row r="269" ht="15.75" customHeight="1">
      <c r="B269" s="97"/>
      <c r="C269" s="97"/>
      <c r="D269" s="97"/>
      <c r="J269" s="97"/>
    </row>
    <row r="270" ht="15.75" customHeight="1">
      <c r="B270" s="97"/>
      <c r="C270" s="97"/>
      <c r="D270" s="97"/>
      <c r="J270" s="97"/>
    </row>
    <row r="271" ht="15.75" customHeight="1">
      <c r="B271" s="97"/>
      <c r="C271" s="97"/>
      <c r="D271" s="97"/>
      <c r="J271" s="97"/>
    </row>
    <row r="272" ht="15.75" customHeight="1">
      <c r="B272" s="97"/>
      <c r="C272" s="97"/>
      <c r="D272" s="97"/>
      <c r="J272" s="97"/>
    </row>
    <row r="273" ht="15.75" customHeight="1">
      <c r="B273" s="97"/>
      <c r="C273" s="97"/>
      <c r="D273" s="97"/>
      <c r="J273" s="97"/>
    </row>
    <row r="274" ht="15.75" customHeight="1">
      <c r="B274" s="97"/>
      <c r="C274" s="97"/>
      <c r="D274" s="97"/>
      <c r="J274" s="97"/>
    </row>
    <row r="275" ht="15.75" customHeight="1">
      <c r="B275" s="97"/>
      <c r="C275" s="97"/>
      <c r="D275" s="97"/>
      <c r="J275" s="97"/>
    </row>
    <row r="276" ht="15.75" customHeight="1">
      <c r="B276" s="97"/>
      <c r="C276" s="97"/>
      <c r="D276" s="97"/>
      <c r="J276" s="97"/>
    </row>
    <row r="277" ht="15.75" customHeight="1">
      <c r="B277" s="97"/>
      <c r="C277" s="97"/>
      <c r="D277" s="97"/>
      <c r="J277" s="97"/>
    </row>
    <row r="278" ht="15.75" customHeight="1">
      <c r="B278" s="97"/>
      <c r="C278" s="97"/>
      <c r="D278" s="97"/>
      <c r="J278" s="97"/>
    </row>
    <row r="279" ht="15.75" customHeight="1">
      <c r="B279" s="97"/>
      <c r="C279" s="97"/>
      <c r="D279" s="97"/>
      <c r="J279" s="97"/>
    </row>
    <row r="280" ht="15.75" customHeight="1">
      <c r="B280" s="97"/>
      <c r="C280" s="97"/>
      <c r="D280" s="97"/>
      <c r="J280" s="97"/>
    </row>
    <row r="281" ht="15.75" customHeight="1">
      <c r="B281" s="97"/>
      <c r="C281" s="97"/>
      <c r="D281" s="97"/>
      <c r="J281" s="97"/>
    </row>
    <row r="282" ht="15.75" customHeight="1">
      <c r="B282" s="97"/>
      <c r="C282" s="97"/>
      <c r="D282" s="97"/>
      <c r="J282" s="97"/>
    </row>
    <row r="283" ht="15.75" customHeight="1">
      <c r="B283" s="97"/>
      <c r="C283" s="97"/>
      <c r="D283" s="97"/>
      <c r="J283" s="97"/>
    </row>
    <row r="284" ht="15.75" customHeight="1">
      <c r="B284" s="97"/>
      <c r="C284" s="97"/>
      <c r="D284" s="97"/>
      <c r="J284" s="97"/>
    </row>
    <row r="285" ht="15.75" customHeight="1">
      <c r="B285" s="97"/>
      <c r="C285" s="97"/>
      <c r="D285" s="97"/>
      <c r="J285" s="97"/>
    </row>
    <row r="286" ht="15.75" customHeight="1">
      <c r="B286" s="97"/>
      <c r="C286" s="97"/>
      <c r="D286" s="97"/>
      <c r="J286" s="97"/>
    </row>
    <row r="287" ht="15.75" customHeight="1">
      <c r="B287" s="97"/>
      <c r="C287" s="97"/>
      <c r="D287" s="97"/>
      <c r="J287" s="97"/>
    </row>
    <row r="288" ht="15.75" customHeight="1">
      <c r="B288" s="97"/>
      <c r="C288" s="97"/>
      <c r="D288" s="97"/>
      <c r="J288" s="97"/>
    </row>
    <row r="289" ht="15.75" customHeight="1">
      <c r="B289" s="97"/>
      <c r="C289" s="97"/>
      <c r="D289" s="97"/>
      <c r="J289" s="97"/>
    </row>
    <row r="290" ht="15.75" customHeight="1">
      <c r="B290" s="97"/>
      <c r="C290" s="97"/>
      <c r="D290" s="97"/>
      <c r="J290" s="97"/>
    </row>
    <row r="291" ht="15.75" customHeight="1">
      <c r="B291" s="97"/>
      <c r="C291" s="97"/>
      <c r="D291" s="97"/>
      <c r="J291" s="97"/>
    </row>
    <row r="292" ht="15.75" customHeight="1">
      <c r="B292" s="97"/>
      <c r="C292" s="97"/>
      <c r="D292" s="97"/>
      <c r="J292" s="97"/>
    </row>
    <row r="293" ht="15.75" customHeight="1">
      <c r="B293" s="97"/>
      <c r="C293" s="97"/>
      <c r="D293" s="97"/>
      <c r="J293" s="97"/>
    </row>
    <row r="294" ht="15.75" customHeight="1">
      <c r="B294" s="97"/>
      <c r="C294" s="97"/>
      <c r="D294" s="97"/>
      <c r="J294" s="97"/>
    </row>
    <row r="295" ht="15.75" customHeight="1">
      <c r="B295" s="97"/>
      <c r="C295" s="97"/>
      <c r="D295" s="97"/>
      <c r="J295" s="97"/>
    </row>
    <row r="296" ht="15.75" customHeight="1">
      <c r="B296" s="97"/>
      <c r="C296" s="97"/>
      <c r="D296" s="97"/>
      <c r="J296" s="97"/>
    </row>
    <row r="297" ht="15.75" customHeight="1">
      <c r="B297" s="97"/>
      <c r="C297" s="97"/>
      <c r="D297" s="97"/>
      <c r="J297" s="97"/>
    </row>
    <row r="298" ht="15.75" customHeight="1">
      <c r="B298" s="97"/>
      <c r="C298" s="97"/>
      <c r="D298" s="97"/>
      <c r="J298" s="97"/>
    </row>
    <row r="299" ht="15.75" customHeight="1">
      <c r="B299" s="97"/>
      <c r="C299" s="97"/>
      <c r="D299" s="97"/>
      <c r="J299" s="97"/>
    </row>
    <row r="300" ht="15.75" customHeight="1">
      <c r="B300" s="97"/>
      <c r="C300" s="97"/>
      <c r="D300" s="97"/>
      <c r="J300" s="97"/>
    </row>
    <row r="301" ht="15.75" customHeight="1">
      <c r="B301" s="97"/>
      <c r="C301" s="97"/>
      <c r="D301" s="97"/>
      <c r="J301" s="97"/>
    </row>
    <row r="302" ht="15.75" customHeight="1">
      <c r="B302" s="97"/>
      <c r="C302" s="97"/>
      <c r="D302" s="97"/>
      <c r="J302" s="97"/>
    </row>
    <row r="303" ht="15.75" customHeight="1">
      <c r="B303" s="97"/>
      <c r="C303" s="97"/>
      <c r="D303" s="97"/>
      <c r="J303" s="97"/>
    </row>
    <row r="304" ht="15.75" customHeight="1">
      <c r="B304" s="97"/>
      <c r="C304" s="97"/>
      <c r="D304" s="97"/>
      <c r="J304" s="97"/>
    </row>
    <row r="305" ht="15.75" customHeight="1">
      <c r="B305" s="97"/>
      <c r="C305" s="97"/>
      <c r="D305" s="97"/>
      <c r="J305" s="97"/>
    </row>
    <row r="306" ht="15.75" customHeight="1">
      <c r="B306" s="97"/>
      <c r="C306" s="97"/>
      <c r="D306" s="97"/>
      <c r="J306" s="97"/>
    </row>
    <row r="307" ht="15.75" customHeight="1">
      <c r="B307" s="97"/>
      <c r="C307" s="97"/>
      <c r="D307" s="97"/>
      <c r="J307" s="97"/>
    </row>
    <row r="308" ht="15.75" customHeight="1">
      <c r="B308" s="97"/>
      <c r="C308" s="97"/>
      <c r="D308" s="97"/>
      <c r="J308" s="97"/>
    </row>
    <row r="309" ht="15.75" customHeight="1">
      <c r="B309" s="97"/>
      <c r="C309" s="97"/>
      <c r="D309" s="97"/>
      <c r="J309" s="97"/>
    </row>
    <row r="310" ht="15.75" customHeight="1">
      <c r="B310" s="97"/>
      <c r="C310" s="97"/>
      <c r="D310" s="97"/>
      <c r="J310" s="97"/>
    </row>
    <row r="311" ht="15.75" customHeight="1">
      <c r="B311" s="97"/>
      <c r="C311" s="97"/>
      <c r="D311" s="97"/>
      <c r="J311" s="97"/>
    </row>
    <row r="312" ht="15.75" customHeight="1">
      <c r="B312" s="97"/>
      <c r="C312" s="97"/>
      <c r="D312" s="97"/>
      <c r="J312" s="97"/>
    </row>
    <row r="313" ht="15.75" customHeight="1">
      <c r="B313" s="97"/>
      <c r="C313" s="97"/>
      <c r="D313" s="97"/>
      <c r="J313" s="97"/>
    </row>
    <row r="314" ht="15.75" customHeight="1">
      <c r="B314" s="97"/>
      <c r="C314" s="97"/>
      <c r="D314" s="97"/>
      <c r="J314" s="97"/>
    </row>
    <row r="315" ht="15.75" customHeight="1">
      <c r="B315" s="97"/>
      <c r="C315" s="97"/>
      <c r="D315" s="97"/>
      <c r="J315" s="97"/>
    </row>
    <row r="316" ht="15.75" customHeight="1">
      <c r="B316" s="97"/>
      <c r="C316" s="97"/>
      <c r="D316" s="97"/>
      <c r="J316" s="97"/>
    </row>
    <row r="317" ht="15.75" customHeight="1">
      <c r="B317" s="97"/>
      <c r="C317" s="97"/>
      <c r="D317" s="97"/>
      <c r="J317" s="97"/>
    </row>
    <row r="318" ht="15.75" customHeight="1">
      <c r="B318" s="97"/>
      <c r="C318" s="97"/>
      <c r="D318" s="97"/>
      <c r="J318" s="97"/>
    </row>
    <row r="319" ht="15.75" customHeight="1">
      <c r="B319" s="97"/>
      <c r="C319" s="97"/>
      <c r="D319" s="97"/>
      <c r="J319" s="97"/>
    </row>
    <row r="320" ht="15.75" customHeight="1">
      <c r="B320" s="97"/>
      <c r="C320" s="97"/>
      <c r="D320" s="97"/>
      <c r="J320" s="97"/>
    </row>
    <row r="321" ht="15.75" customHeight="1">
      <c r="B321" s="97"/>
      <c r="C321" s="97"/>
      <c r="D321" s="97"/>
      <c r="J321" s="97"/>
    </row>
    <row r="322" ht="15.75" customHeight="1">
      <c r="B322" s="97"/>
      <c r="C322" s="97"/>
      <c r="D322" s="97"/>
      <c r="J322" s="97"/>
    </row>
    <row r="323" ht="15.75" customHeight="1">
      <c r="B323" s="97"/>
      <c r="C323" s="97"/>
      <c r="D323" s="97"/>
      <c r="J323" s="97"/>
    </row>
    <row r="324" ht="15.75" customHeight="1">
      <c r="B324" s="97"/>
      <c r="C324" s="97"/>
      <c r="D324" s="97"/>
      <c r="J324" s="97"/>
    </row>
    <row r="325" ht="15.75" customHeight="1">
      <c r="B325" s="97"/>
      <c r="C325" s="97"/>
      <c r="D325" s="97"/>
      <c r="J325" s="97"/>
    </row>
    <row r="326" ht="15.75" customHeight="1">
      <c r="B326" s="97"/>
      <c r="C326" s="97"/>
      <c r="D326" s="97"/>
      <c r="J326" s="97"/>
    </row>
    <row r="327" ht="15.75" customHeight="1">
      <c r="B327" s="97"/>
      <c r="C327" s="97"/>
      <c r="D327" s="97"/>
      <c r="J327" s="97"/>
    </row>
    <row r="328" ht="15.75" customHeight="1">
      <c r="B328" s="97"/>
      <c r="C328" s="97"/>
      <c r="D328" s="97"/>
      <c r="J328" s="97"/>
    </row>
    <row r="329" ht="15.75" customHeight="1">
      <c r="B329" s="97"/>
      <c r="C329" s="97"/>
      <c r="D329" s="97"/>
      <c r="J329" s="97"/>
    </row>
    <row r="330" ht="15.75" customHeight="1">
      <c r="B330" s="97"/>
      <c r="C330" s="97"/>
      <c r="D330" s="97"/>
      <c r="J330" s="97"/>
    </row>
    <row r="331" ht="15.75" customHeight="1">
      <c r="B331" s="97"/>
      <c r="C331" s="97"/>
      <c r="D331" s="97"/>
      <c r="J331" s="97"/>
    </row>
    <row r="332" ht="15.75" customHeight="1">
      <c r="B332" s="97"/>
      <c r="C332" s="97"/>
      <c r="D332" s="97"/>
      <c r="J332" s="97"/>
    </row>
    <row r="333" ht="15.75" customHeight="1">
      <c r="B333" s="97"/>
      <c r="C333" s="97"/>
      <c r="D333" s="97"/>
      <c r="J333" s="97"/>
    </row>
    <row r="334" ht="15.75" customHeight="1">
      <c r="B334" s="97"/>
      <c r="C334" s="97"/>
      <c r="D334" s="97"/>
      <c r="J334" s="97"/>
    </row>
    <row r="335" ht="15.75" customHeight="1">
      <c r="B335" s="97"/>
      <c r="C335" s="97"/>
      <c r="D335" s="97"/>
      <c r="J335" s="97"/>
    </row>
    <row r="336" ht="15.75" customHeight="1">
      <c r="B336" s="97"/>
      <c r="C336" s="97"/>
      <c r="D336" s="97"/>
      <c r="J336" s="97"/>
    </row>
    <row r="337" ht="15.75" customHeight="1">
      <c r="B337" s="97"/>
      <c r="C337" s="97"/>
      <c r="D337" s="97"/>
      <c r="J337" s="97"/>
    </row>
    <row r="338" ht="15.75" customHeight="1">
      <c r="B338" s="97"/>
      <c r="C338" s="97"/>
      <c r="D338" s="97"/>
      <c r="J338" s="97"/>
    </row>
    <row r="339" ht="15.75" customHeight="1">
      <c r="B339" s="97"/>
      <c r="C339" s="97"/>
      <c r="D339" s="97"/>
      <c r="J339" s="97"/>
    </row>
    <row r="340" ht="15.75" customHeight="1">
      <c r="B340" s="97"/>
      <c r="C340" s="97"/>
      <c r="D340" s="97"/>
      <c r="J340" s="97"/>
    </row>
    <row r="341" ht="15.75" customHeight="1">
      <c r="B341" s="97"/>
      <c r="C341" s="97"/>
      <c r="D341" s="97"/>
      <c r="J341" s="97"/>
    </row>
    <row r="342" ht="15.75" customHeight="1">
      <c r="B342" s="97"/>
      <c r="C342" s="97"/>
      <c r="D342" s="97"/>
      <c r="J342" s="97"/>
    </row>
    <row r="343" ht="15.75" customHeight="1">
      <c r="B343" s="97"/>
      <c r="C343" s="97"/>
      <c r="D343" s="97"/>
      <c r="J343" s="97"/>
    </row>
    <row r="344" ht="15.75" customHeight="1">
      <c r="B344" s="97"/>
      <c r="C344" s="97"/>
      <c r="D344" s="97"/>
      <c r="J344" s="97"/>
    </row>
    <row r="345" ht="15.75" customHeight="1">
      <c r="B345" s="97"/>
      <c r="C345" s="97"/>
      <c r="D345" s="97"/>
      <c r="J345" s="97"/>
    </row>
    <row r="346" ht="15.75" customHeight="1">
      <c r="B346" s="97"/>
      <c r="C346" s="97"/>
      <c r="D346" s="97"/>
      <c r="J346" s="97"/>
    </row>
    <row r="347" ht="15.75" customHeight="1">
      <c r="B347" s="97"/>
      <c r="C347" s="97"/>
      <c r="D347" s="97"/>
      <c r="J347" s="97"/>
    </row>
    <row r="348" ht="15.75" customHeight="1">
      <c r="B348" s="97"/>
      <c r="C348" s="97"/>
      <c r="D348" s="97"/>
      <c r="J348" s="97"/>
    </row>
    <row r="349" ht="15.75" customHeight="1">
      <c r="B349" s="97"/>
      <c r="C349" s="97"/>
      <c r="D349" s="97"/>
      <c r="J349" s="97"/>
    </row>
    <row r="350" ht="15.75" customHeight="1">
      <c r="B350" s="97"/>
      <c r="C350" s="97"/>
      <c r="D350" s="97"/>
      <c r="J350" s="97"/>
    </row>
    <row r="351" ht="15.75" customHeight="1">
      <c r="B351" s="97"/>
      <c r="C351" s="97"/>
      <c r="D351" s="97"/>
      <c r="J351" s="97"/>
    </row>
    <row r="352" ht="15.75" customHeight="1">
      <c r="B352" s="97"/>
      <c r="C352" s="97"/>
      <c r="D352" s="97"/>
      <c r="J352" s="97"/>
    </row>
    <row r="353" ht="15.75" customHeight="1">
      <c r="B353" s="97"/>
      <c r="C353" s="97"/>
      <c r="D353" s="97"/>
      <c r="J353" s="97"/>
    </row>
    <row r="354" ht="15.75" customHeight="1">
      <c r="B354" s="97"/>
      <c r="C354" s="97"/>
      <c r="D354" s="97"/>
      <c r="J354" s="97"/>
    </row>
    <row r="355" ht="15.75" customHeight="1">
      <c r="B355" s="97"/>
      <c r="C355" s="97"/>
      <c r="D355" s="97"/>
      <c r="J355" s="97"/>
    </row>
    <row r="356" ht="15.75" customHeight="1">
      <c r="B356" s="97"/>
      <c r="C356" s="97"/>
      <c r="D356" s="97"/>
      <c r="J356" s="97"/>
    </row>
    <row r="357" ht="15.75" customHeight="1">
      <c r="B357" s="97"/>
      <c r="C357" s="97"/>
      <c r="D357" s="97"/>
      <c r="J357" s="97"/>
    </row>
    <row r="358" ht="15.75" customHeight="1">
      <c r="B358" s="97"/>
      <c r="C358" s="97"/>
      <c r="D358" s="97"/>
      <c r="J358" s="97"/>
    </row>
    <row r="359" ht="15.75" customHeight="1">
      <c r="B359" s="97"/>
      <c r="C359" s="97"/>
      <c r="D359" s="97"/>
      <c r="J359" s="97"/>
    </row>
    <row r="360" ht="15.75" customHeight="1">
      <c r="B360" s="97"/>
      <c r="C360" s="97"/>
      <c r="D360" s="97"/>
      <c r="J360" s="97"/>
    </row>
    <row r="361" ht="15.75" customHeight="1">
      <c r="B361" s="97"/>
      <c r="C361" s="97"/>
      <c r="D361" s="97"/>
      <c r="J361" s="97"/>
    </row>
    <row r="362" ht="15.75" customHeight="1">
      <c r="B362" s="97"/>
      <c r="C362" s="97"/>
      <c r="D362" s="97"/>
      <c r="J362" s="97"/>
    </row>
    <row r="363" ht="15.75" customHeight="1">
      <c r="B363" s="97"/>
      <c r="C363" s="97"/>
      <c r="D363" s="97"/>
      <c r="J363" s="97"/>
    </row>
    <row r="364" ht="15.75" customHeight="1">
      <c r="B364" s="97"/>
      <c r="C364" s="97"/>
      <c r="D364" s="97"/>
      <c r="J364" s="97"/>
    </row>
    <row r="365" ht="15.75" customHeight="1">
      <c r="B365" s="97"/>
      <c r="C365" s="97"/>
      <c r="D365" s="97"/>
      <c r="J365" s="97"/>
    </row>
    <row r="366" ht="15.75" customHeight="1">
      <c r="B366" s="97"/>
      <c r="C366" s="97"/>
      <c r="D366" s="97"/>
      <c r="J366" s="97"/>
    </row>
    <row r="367" ht="15.75" customHeight="1">
      <c r="B367" s="97"/>
      <c r="C367" s="97"/>
      <c r="D367" s="97"/>
      <c r="J367" s="97"/>
    </row>
    <row r="368" ht="15.75" customHeight="1">
      <c r="B368" s="97"/>
      <c r="C368" s="97"/>
      <c r="D368" s="97"/>
      <c r="J368" s="97"/>
    </row>
    <row r="369" ht="15.75" customHeight="1">
      <c r="B369" s="97"/>
      <c r="C369" s="97"/>
      <c r="D369" s="97"/>
      <c r="J369" s="97"/>
    </row>
    <row r="370" ht="15.75" customHeight="1">
      <c r="B370" s="97"/>
      <c r="C370" s="97"/>
      <c r="D370" s="97"/>
      <c r="J370" s="97"/>
    </row>
    <row r="371" ht="15.75" customHeight="1">
      <c r="B371" s="97"/>
      <c r="C371" s="97"/>
      <c r="D371" s="97"/>
      <c r="J371" s="97"/>
    </row>
    <row r="372" ht="15.75" customHeight="1">
      <c r="B372" s="97"/>
      <c r="C372" s="97"/>
      <c r="D372" s="97"/>
      <c r="J372" s="97"/>
    </row>
    <row r="373" ht="15.75" customHeight="1">
      <c r="B373" s="97"/>
      <c r="C373" s="97"/>
      <c r="D373" s="97"/>
      <c r="J373" s="97"/>
    </row>
    <row r="374" ht="15.75" customHeight="1">
      <c r="B374" s="97"/>
      <c r="C374" s="97"/>
      <c r="D374" s="97"/>
      <c r="J374" s="97"/>
    </row>
    <row r="375" ht="15.75" customHeight="1">
      <c r="B375" s="97"/>
      <c r="C375" s="97"/>
      <c r="D375" s="97"/>
      <c r="J375" s="97"/>
    </row>
    <row r="376" ht="15.75" customHeight="1">
      <c r="B376" s="97"/>
      <c r="C376" s="97"/>
      <c r="D376" s="97"/>
      <c r="J376" s="97"/>
    </row>
    <row r="377" ht="15.75" customHeight="1">
      <c r="B377" s="97"/>
      <c r="C377" s="97"/>
      <c r="D377" s="97"/>
      <c r="J377" s="97"/>
    </row>
    <row r="378" ht="15.75" customHeight="1">
      <c r="B378" s="97"/>
      <c r="C378" s="97"/>
      <c r="D378" s="97"/>
      <c r="J378" s="97"/>
    </row>
    <row r="379" ht="15.75" customHeight="1">
      <c r="B379" s="97"/>
      <c r="C379" s="97"/>
      <c r="D379" s="97"/>
      <c r="J379" s="97"/>
    </row>
    <row r="380" ht="15.75" customHeight="1">
      <c r="B380" s="97"/>
      <c r="C380" s="97"/>
      <c r="D380" s="97"/>
      <c r="J380" s="97"/>
    </row>
    <row r="381" ht="15.75" customHeight="1">
      <c r="B381" s="97"/>
      <c r="C381" s="97"/>
      <c r="D381" s="97"/>
      <c r="J381" s="97"/>
    </row>
    <row r="382" ht="15.75" customHeight="1">
      <c r="B382" s="97"/>
      <c r="C382" s="97"/>
      <c r="D382" s="97"/>
      <c r="J382" s="97"/>
    </row>
    <row r="383" ht="15.75" customHeight="1">
      <c r="B383" s="97"/>
      <c r="C383" s="97"/>
      <c r="D383" s="97"/>
      <c r="J383" s="97"/>
    </row>
    <row r="384" ht="15.75" customHeight="1">
      <c r="B384" s="97"/>
      <c r="C384" s="97"/>
      <c r="D384" s="97"/>
      <c r="J384" s="97"/>
    </row>
    <row r="385" ht="15.75" customHeight="1">
      <c r="B385" s="97"/>
      <c r="C385" s="97"/>
      <c r="D385" s="97"/>
      <c r="J385" s="97"/>
    </row>
    <row r="386" ht="15.75" customHeight="1">
      <c r="B386" s="97"/>
      <c r="C386" s="97"/>
      <c r="D386" s="97"/>
      <c r="J386" s="97"/>
    </row>
    <row r="387" ht="15.75" customHeight="1">
      <c r="B387" s="97"/>
      <c r="C387" s="97"/>
      <c r="D387" s="97"/>
      <c r="J387" s="97"/>
    </row>
    <row r="388" ht="15.75" customHeight="1">
      <c r="B388" s="97"/>
      <c r="C388" s="97"/>
      <c r="D388" s="97"/>
      <c r="J388" s="97"/>
    </row>
    <row r="389" ht="15.75" customHeight="1">
      <c r="B389" s="97"/>
      <c r="C389" s="97"/>
      <c r="D389" s="97"/>
      <c r="J389" s="97"/>
    </row>
    <row r="390" ht="15.75" customHeight="1">
      <c r="B390" s="97"/>
      <c r="C390" s="97"/>
      <c r="D390" s="97"/>
      <c r="J390" s="97"/>
    </row>
    <row r="391" ht="15.75" customHeight="1">
      <c r="B391" s="97"/>
      <c r="C391" s="97"/>
      <c r="D391" s="97"/>
      <c r="J391" s="97"/>
    </row>
    <row r="392" ht="15.75" customHeight="1">
      <c r="B392" s="97"/>
      <c r="C392" s="97"/>
      <c r="D392" s="97"/>
      <c r="J392" s="97"/>
    </row>
    <row r="393" ht="15.75" customHeight="1">
      <c r="B393" s="97"/>
      <c r="C393" s="97"/>
      <c r="D393" s="97"/>
      <c r="J393" s="97"/>
    </row>
    <row r="394" ht="15.75" customHeight="1">
      <c r="B394" s="97"/>
      <c r="C394" s="97"/>
      <c r="D394" s="97"/>
      <c r="J394" s="97"/>
    </row>
    <row r="395" ht="15.75" customHeight="1">
      <c r="B395" s="97"/>
      <c r="C395" s="97"/>
      <c r="D395" s="97"/>
      <c r="J395" s="97"/>
    </row>
    <row r="396" ht="15.75" customHeight="1">
      <c r="B396" s="97"/>
      <c r="C396" s="97"/>
      <c r="D396" s="97"/>
      <c r="J396" s="97"/>
    </row>
    <row r="397" ht="15.75" customHeight="1">
      <c r="B397" s="97"/>
      <c r="C397" s="97"/>
      <c r="D397" s="97"/>
      <c r="J397" s="97"/>
    </row>
    <row r="398" ht="15.75" customHeight="1">
      <c r="B398" s="97"/>
      <c r="C398" s="97"/>
      <c r="D398" s="97"/>
      <c r="J398" s="97"/>
    </row>
    <row r="399" ht="15.75" customHeight="1">
      <c r="B399" s="97"/>
      <c r="C399" s="97"/>
      <c r="D399" s="97"/>
      <c r="J399" s="97"/>
    </row>
    <row r="400" ht="15.75" customHeight="1">
      <c r="B400" s="97"/>
      <c r="C400" s="97"/>
      <c r="D400" s="97"/>
      <c r="J400" s="97"/>
    </row>
    <row r="401" ht="15.75" customHeight="1">
      <c r="B401" s="97"/>
      <c r="C401" s="97"/>
      <c r="D401" s="97"/>
      <c r="J401" s="97"/>
    </row>
    <row r="402" ht="15.75" customHeight="1">
      <c r="B402" s="97"/>
      <c r="C402" s="97"/>
      <c r="D402" s="97"/>
      <c r="J402" s="97"/>
    </row>
    <row r="403" ht="15.75" customHeight="1">
      <c r="B403" s="97"/>
      <c r="C403" s="97"/>
      <c r="D403" s="97"/>
      <c r="J403" s="97"/>
    </row>
    <row r="404" ht="15.75" customHeight="1">
      <c r="B404" s="97"/>
      <c r="C404" s="97"/>
      <c r="D404" s="97"/>
      <c r="J404" s="97"/>
    </row>
    <row r="405" ht="15.75" customHeight="1">
      <c r="B405" s="97"/>
      <c r="C405" s="97"/>
      <c r="D405" s="97"/>
      <c r="J405" s="97"/>
    </row>
    <row r="406" ht="15.75" customHeight="1">
      <c r="B406" s="97"/>
      <c r="C406" s="97"/>
      <c r="D406" s="97"/>
      <c r="J406" s="97"/>
    </row>
    <row r="407" ht="15.75" customHeight="1">
      <c r="B407" s="97"/>
      <c r="C407" s="97"/>
      <c r="D407" s="97"/>
      <c r="J407" s="97"/>
    </row>
    <row r="408" ht="15.75" customHeight="1">
      <c r="B408" s="97"/>
      <c r="C408" s="97"/>
      <c r="D408" s="97"/>
      <c r="J408" s="97"/>
    </row>
    <row r="409" ht="15.75" customHeight="1">
      <c r="B409" s="97"/>
      <c r="C409" s="97"/>
      <c r="D409" s="97"/>
      <c r="J409" s="97"/>
    </row>
    <row r="410" ht="15.75" customHeight="1">
      <c r="B410" s="97"/>
      <c r="C410" s="97"/>
      <c r="D410" s="97"/>
      <c r="J410" s="97"/>
    </row>
    <row r="411" ht="15.75" customHeight="1">
      <c r="B411" s="97"/>
      <c r="C411" s="97"/>
      <c r="D411" s="97"/>
      <c r="J411" s="97"/>
    </row>
    <row r="412" ht="15.75" customHeight="1">
      <c r="B412" s="97"/>
      <c r="C412" s="97"/>
      <c r="D412" s="97"/>
      <c r="J412" s="97"/>
    </row>
    <row r="413" ht="15.75" customHeight="1">
      <c r="B413" s="97"/>
      <c r="C413" s="97"/>
      <c r="D413" s="97"/>
      <c r="J413" s="97"/>
    </row>
    <row r="414" ht="15.75" customHeight="1">
      <c r="B414" s="97"/>
      <c r="C414" s="97"/>
      <c r="D414" s="97"/>
      <c r="J414" s="97"/>
    </row>
    <row r="415" ht="15.75" customHeight="1">
      <c r="B415" s="97"/>
      <c r="C415" s="97"/>
      <c r="D415" s="97"/>
      <c r="J415" s="97"/>
    </row>
    <row r="416" ht="15.75" customHeight="1">
      <c r="B416" s="97"/>
      <c r="C416" s="97"/>
      <c r="D416" s="97"/>
      <c r="J416" s="97"/>
    </row>
    <row r="417" ht="15.75" customHeight="1">
      <c r="B417" s="97"/>
      <c r="C417" s="97"/>
      <c r="D417" s="97"/>
      <c r="J417" s="97"/>
    </row>
    <row r="418" ht="15.75" customHeight="1">
      <c r="B418" s="97"/>
      <c r="C418" s="97"/>
      <c r="D418" s="97"/>
      <c r="J418" s="97"/>
    </row>
    <row r="419" ht="15.75" customHeight="1">
      <c r="B419" s="97"/>
      <c r="C419" s="97"/>
      <c r="D419" s="97"/>
      <c r="J419" s="97"/>
    </row>
    <row r="420" ht="15.75" customHeight="1">
      <c r="B420" s="97"/>
      <c r="C420" s="97"/>
      <c r="D420" s="97"/>
      <c r="J420" s="97"/>
    </row>
    <row r="421" ht="15.75" customHeight="1">
      <c r="B421" s="97"/>
      <c r="C421" s="97"/>
      <c r="D421" s="97"/>
      <c r="J421" s="97"/>
    </row>
    <row r="422" ht="15.75" customHeight="1">
      <c r="B422" s="97"/>
      <c r="C422" s="97"/>
      <c r="D422" s="97"/>
      <c r="J422" s="97"/>
    </row>
    <row r="423" ht="15.75" customHeight="1">
      <c r="B423" s="97"/>
      <c r="C423" s="97"/>
      <c r="D423" s="97"/>
      <c r="J423" s="97"/>
    </row>
    <row r="424" ht="15.75" customHeight="1">
      <c r="B424" s="97"/>
      <c r="C424" s="97"/>
      <c r="D424" s="97"/>
      <c r="J424" s="97"/>
    </row>
    <row r="425" ht="15.75" customHeight="1">
      <c r="B425" s="97"/>
      <c r="C425" s="97"/>
      <c r="D425" s="97"/>
      <c r="J425" s="97"/>
    </row>
    <row r="426" ht="15.75" customHeight="1">
      <c r="B426" s="97"/>
      <c r="C426" s="97"/>
      <c r="D426" s="97"/>
      <c r="J426" s="97"/>
    </row>
    <row r="427" ht="15.75" customHeight="1">
      <c r="B427" s="97"/>
      <c r="C427" s="97"/>
      <c r="D427" s="97"/>
      <c r="J427" s="97"/>
    </row>
    <row r="428" ht="15.75" customHeight="1">
      <c r="B428" s="97"/>
      <c r="C428" s="97"/>
      <c r="D428" s="97"/>
      <c r="J428" s="97"/>
    </row>
    <row r="429" ht="15.75" customHeight="1">
      <c r="B429" s="97"/>
      <c r="C429" s="97"/>
      <c r="D429" s="97"/>
      <c r="J429" s="97"/>
    </row>
    <row r="430" ht="15.75" customHeight="1">
      <c r="B430" s="97"/>
      <c r="C430" s="97"/>
      <c r="D430" s="97"/>
      <c r="J430" s="97"/>
    </row>
    <row r="431" ht="15.75" customHeight="1">
      <c r="B431" s="97"/>
      <c r="C431" s="97"/>
      <c r="D431" s="97"/>
      <c r="J431" s="97"/>
    </row>
    <row r="432" ht="15.75" customHeight="1">
      <c r="B432" s="97"/>
      <c r="C432" s="97"/>
      <c r="D432" s="97"/>
      <c r="J432" s="97"/>
    </row>
    <row r="433" ht="15.75" customHeight="1">
      <c r="B433" s="97"/>
      <c r="C433" s="97"/>
      <c r="D433" s="97"/>
      <c r="J433" s="97"/>
    </row>
    <row r="434" ht="15.75" customHeight="1">
      <c r="B434" s="97"/>
      <c r="C434" s="97"/>
      <c r="D434" s="97"/>
      <c r="J434" s="97"/>
    </row>
    <row r="435" ht="15.75" customHeight="1">
      <c r="B435" s="97"/>
      <c r="C435" s="97"/>
      <c r="D435" s="97"/>
      <c r="J435" s="97"/>
    </row>
    <row r="436" ht="15.75" customHeight="1">
      <c r="B436" s="97"/>
      <c r="C436" s="97"/>
      <c r="D436" s="97"/>
      <c r="J436" s="97"/>
    </row>
    <row r="437" ht="15.75" customHeight="1">
      <c r="B437" s="97"/>
      <c r="C437" s="97"/>
      <c r="D437" s="97"/>
      <c r="J437" s="97"/>
    </row>
    <row r="438" ht="15.75" customHeight="1">
      <c r="B438" s="97"/>
      <c r="C438" s="97"/>
      <c r="D438" s="97"/>
      <c r="J438" s="97"/>
    </row>
    <row r="439" ht="15.75" customHeight="1">
      <c r="B439" s="97"/>
      <c r="C439" s="97"/>
      <c r="D439" s="97"/>
      <c r="J439" s="97"/>
    </row>
    <row r="440" ht="15.75" customHeight="1">
      <c r="B440" s="97"/>
      <c r="C440" s="97"/>
      <c r="D440" s="97"/>
      <c r="J440" s="97"/>
    </row>
    <row r="441" ht="15.75" customHeight="1">
      <c r="B441" s="97"/>
      <c r="C441" s="97"/>
      <c r="D441" s="97"/>
      <c r="J441" s="97"/>
    </row>
    <row r="442" ht="15.75" customHeight="1">
      <c r="B442" s="97"/>
      <c r="C442" s="97"/>
      <c r="D442" s="97"/>
      <c r="J442" s="97"/>
    </row>
    <row r="443" ht="15.75" customHeight="1">
      <c r="B443" s="97"/>
      <c r="C443" s="97"/>
      <c r="D443" s="97"/>
      <c r="J443" s="97"/>
    </row>
    <row r="444" ht="15.75" customHeight="1">
      <c r="B444" s="97"/>
      <c r="C444" s="97"/>
      <c r="D444" s="97"/>
      <c r="J444" s="97"/>
    </row>
    <row r="445" ht="15.75" customHeight="1">
      <c r="B445" s="97"/>
      <c r="C445" s="97"/>
      <c r="D445" s="97"/>
      <c r="J445" s="97"/>
    </row>
    <row r="446" ht="15.75" customHeight="1">
      <c r="B446" s="97"/>
      <c r="C446" s="97"/>
      <c r="D446" s="97"/>
      <c r="J446" s="97"/>
    </row>
    <row r="447" ht="15.75" customHeight="1">
      <c r="B447" s="97"/>
      <c r="C447" s="97"/>
      <c r="D447" s="97"/>
      <c r="J447" s="97"/>
    </row>
    <row r="448" ht="15.75" customHeight="1">
      <c r="B448" s="97"/>
      <c r="C448" s="97"/>
      <c r="D448" s="97"/>
      <c r="J448" s="97"/>
    </row>
    <row r="449" ht="15.75" customHeight="1">
      <c r="B449" s="97"/>
      <c r="C449" s="97"/>
      <c r="D449" s="97"/>
      <c r="J449" s="97"/>
    </row>
    <row r="450" ht="15.75" customHeight="1">
      <c r="B450" s="97"/>
      <c r="C450" s="97"/>
      <c r="D450" s="97"/>
      <c r="J450" s="97"/>
    </row>
    <row r="451" ht="15.75" customHeight="1">
      <c r="B451" s="97"/>
      <c r="C451" s="97"/>
      <c r="D451" s="97"/>
      <c r="J451" s="97"/>
    </row>
    <row r="452" ht="15.75" customHeight="1">
      <c r="B452" s="97"/>
      <c r="C452" s="97"/>
      <c r="D452" s="97"/>
      <c r="J452" s="97"/>
    </row>
    <row r="453" ht="15.75" customHeight="1">
      <c r="B453" s="97"/>
      <c r="C453" s="97"/>
      <c r="D453" s="97"/>
      <c r="J453" s="97"/>
    </row>
    <row r="454" ht="15.75" customHeight="1">
      <c r="B454" s="97"/>
      <c r="C454" s="97"/>
      <c r="D454" s="97"/>
      <c r="J454" s="97"/>
    </row>
    <row r="455" ht="15.75" customHeight="1">
      <c r="B455" s="97"/>
      <c r="C455" s="97"/>
      <c r="D455" s="97"/>
      <c r="J455" s="97"/>
    </row>
    <row r="456" ht="15.75" customHeight="1">
      <c r="B456" s="97"/>
      <c r="C456" s="97"/>
      <c r="D456" s="97"/>
      <c r="J456" s="97"/>
    </row>
    <row r="457" ht="15.75" customHeight="1">
      <c r="B457" s="97"/>
      <c r="C457" s="97"/>
      <c r="D457" s="97"/>
      <c r="J457" s="97"/>
    </row>
    <row r="458" ht="15.75" customHeight="1">
      <c r="B458" s="97"/>
      <c r="C458" s="97"/>
      <c r="D458" s="97"/>
      <c r="J458" s="97"/>
    </row>
    <row r="459" ht="15.75" customHeight="1">
      <c r="B459" s="97"/>
      <c r="C459" s="97"/>
      <c r="D459" s="97"/>
      <c r="J459" s="97"/>
    </row>
    <row r="460" ht="15.75" customHeight="1">
      <c r="B460" s="97"/>
      <c r="C460" s="97"/>
      <c r="D460" s="97"/>
      <c r="J460" s="97"/>
    </row>
    <row r="461" ht="15.75" customHeight="1">
      <c r="B461" s="97"/>
      <c r="C461" s="97"/>
      <c r="D461" s="97"/>
      <c r="J461" s="97"/>
    </row>
    <row r="462" ht="15.75" customHeight="1">
      <c r="B462" s="97"/>
      <c r="C462" s="97"/>
      <c r="D462" s="97"/>
      <c r="J462" s="97"/>
    </row>
    <row r="463" ht="15.75" customHeight="1">
      <c r="B463" s="97"/>
      <c r="C463" s="97"/>
      <c r="D463" s="97"/>
      <c r="J463" s="97"/>
    </row>
    <row r="464" ht="15.75" customHeight="1">
      <c r="B464" s="97"/>
      <c r="C464" s="97"/>
      <c r="D464" s="97"/>
      <c r="J464" s="97"/>
    </row>
    <row r="465" ht="15.75" customHeight="1">
      <c r="B465" s="97"/>
      <c r="C465" s="97"/>
      <c r="D465" s="97"/>
      <c r="J465" s="97"/>
    </row>
    <row r="466" ht="15.75" customHeight="1">
      <c r="B466" s="97"/>
      <c r="C466" s="97"/>
      <c r="D466" s="97"/>
      <c r="J466" s="97"/>
    </row>
    <row r="467" ht="15.75" customHeight="1">
      <c r="B467" s="97"/>
      <c r="C467" s="97"/>
      <c r="D467" s="97"/>
      <c r="J467" s="97"/>
    </row>
    <row r="468" ht="15.75" customHeight="1">
      <c r="B468" s="97"/>
      <c r="C468" s="97"/>
      <c r="D468" s="97"/>
      <c r="J468" s="97"/>
    </row>
    <row r="469" ht="15.75" customHeight="1">
      <c r="B469" s="97"/>
      <c r="C469" s="97"/>
      <c r="D469" s="97"/>
      <c r="J469" s="97"/>
    </row>
    <row r="470" ht="15.75" customHeight="1">
      <c r="B470" s="97"/>
      <c r="C470" s="97"/>
      <c r="D470" s="97"/>
      <c r="J470" s="97"/>
    </row>
    <row r="471" ht="15.75" customHeight="1">
      <c r="B471" s="97"/>
      <c r="C471" s="97"/>
      <c r="D471" s="97"/>
      <c r="J471" s="97"/>
    </row>
    <row r="472" ht="15.75" customHeight="1">
      <c r="B472" s="97"/>
      <c r="C472" s="97"/>
      <c r="D472" s="97"/>
      <c r="J472" s="97"/>
    </row>
    <row r="473" ht="15.75" customHeight="1">
      <c r="B473" s="97"/>
      <c r="C473" s="97"/>
      <c r="D473" s="97"/>
      <c r="J473" s="97"/>
    </row>
    <row r="474" ht="15.75" customHeight="1">
      <c r="B474" s="97"/>
      <c r="C474" s="97"/>
      <c r="D474" s="97"/>
      <c r="J474" s="97"/>
    </row>
    <row r="475" ht="15.75" customHeight="1">
      <c r="B475" s="97"/>
      <c r="C475" s="97"/>
      <c r="D475" s="97"/>
      <c r="J475" s="97"/>
    </row>
    <row r="476" ht="15.75" customHeight="1">
      <c r="B476" s="97"/>
      <c r="C476" s="97"/>
      <c r="D476" s="97"/>
      <c r="J476" s="97"/>
    </row>
    <row r="477" ht="15.75" customHeight="1">
      <c r="B477" s="97"/>
      <c r="C477" s="97"/>
      <c r="D477" s="97"/>
      <c r="J477" s="97"/>
    </row>
    <row r="478" ht="15.75" customHeight="1">
      <c r="B478" s="97"/>
      <c r="C478" s="97"/>
      <c r="D478" s="97"/>
      <c r="J478" s="97"/>
    </row>
    <row r="479" ht="15.75" customHeight="1">
      <c r="B479" s="97"/>
      <c r="C479" s="97"/>
      <c r="D479" s="97"/>
      <c r="J479" s="97"/>
    </row>
    <row r="480" ht="15.75" customHeight="1">
      <c r="B480" s="97"/>
      <c r="C480" s="97"/>
      <c r="D480" s="97"/>
      <c r="J480" s="97"/>
    </row>
    <row r="481" ht="15.75" customHeight="1">
      <c r="B481" s="97"/>
      <c r="C481" s="97"/>
      <c r="D481" s="97"/>
      <c r="J481" s="97"/>
    </row>
    <row r="482" ht="15.75" customHeight="1">
      <c r="B482" s="97"/>
      <c r="C482" s="97"/>
      <c r="D482" s="97"/>
      <c r="J482" s="97"/>
    </row>
    <row r="483" ht="15.75" customHeight="1">
      <c r="B483" s="97"/>
      <c r="C483" s="97"/>
      <c r="D483" s="97"/>
      <c r="J483" s="97"/>
    </row>
    <row r="484" ht="15.75" customHeight="1">
      <c r="B484" s="97"/>
      <c r="C484" s="97"/>
      <c r="D484" s="97"/>
      <c r="J484" s="97"/>
    </row>
    <row r="485" ht="15.75" customHeight="1">
      <c r="B485" s="97"/>
      <c r="C485" s="97"/>
      <c r="D485" s="97"/>
      <c r="J485" s="97"/>
    </row>
    <row r="486" ht="15.75" customHeight="1">
      <c r="B486" s="97"/>
      <c r="C486" s="97"/>
      <c r="D486" s="97"/>
      <c r="J486" s="97"/>
    </row>
    <row r="487" ht="15.75" customHeight="1">
      <c r="B487" s="97"/>
      <c r="C487" s="97"/>
      <c r="D487" s="97"/>
      <c r="J487" s="97"/>
    </row>
    <row r="488" ht="15.75" customHeight="1">
      <c r="B488" s="97"/>
      <c r="C488" s="97"/>
      <c r="D488" s="97"/>
      <c r="J488" s="97"/>
    </row>
    <row r="489" ht="15.75" customHeight="1">
      <c r="B489" s="97"/>
      <c r="C489" s="97"/>
      <c r="D489" s="97"/>
      <c r="J489" s="97"/>
    </row>
    <row r="490" ht="15.75" customHeight="1">
      <c r="B490" s="97"/>
      <c r="C490" s="97"/>
      <c r="D490" s="97"/>
      <c r="J490" s="97"/>
    </row>
    <row r="491" ht="15.75" customHeight="1">
      <c r="B491" s="97"/>
      <c r="C491" s="97"/>
      <c r="D491" s="97"/>
      <c r="J491" s="97"/>
    </row>
    <row r="492" ht="15.75" customHeight="1">
      <c r="B492" s="97"/>
      <c r="C492" s="97"/>
      <c r="D492" s="97"/>
      <c r="J492" s="97"/>
    </row>
    <row r="493" ht="15.75" customHeight="1">
      <c r="B493" s="97"/>
      <c r="C493" s="97"/>
      <c r="D493" s="97"/>
      <c r="J493" s="97"/>
    </row>
    <row r="494" ht="15.75" customHeight="1">
      <c r="B494" s="97"/>
      <c r="C494" s="97"/>
      <c r="D494" s="97"/>
      <c r="J494" s="97"/>
    </row>
    <row r="495" ht="15.75" customHeight="1">
      <c r="B495" s="97"/>
      <c r="C495" s="97"/>
      <c r="D495" s="97"/>
      <c r="J495" s="97"/>
    </row>
    <row r="496" ht="15.75" customHeight="1">
      <c r="B496" s="97"/>
      <c r="C496" s="97"/>
      <c r="D496" s="97"/>
      <c r="J496" s="97"/>
    </row>
    <row r="497" ht="15.75" customHeight="1">
      <c r="B497" s="97"/>
      <c r="C497" s="97"/>
      <c r="D497" s="97"/>
      <c r="J497" s="97"/>
    </row>
    <row r="498" ht="15.75" customHeight="1">
      <c r="B498" s="97"/>
      <c r="C498" s="97"/>
      <c r="D498" s="97"/>
      <c r="J498" s="97"/>
    </row>
    <row r="499" ht="15.75" customHeight="1">
      <c r="B499" s="97"/>
      <c r="C499" s="97"/>
      <c r="D499" s="97"/>
      <c r="J499" s="97"/>
    </row>
    <row r="500" ht="15.75" customHeight="1">
      <c r="B500" s="97"/>
      <c r="C500" s="97"/>
      <c r="D500" s="97"/>
      <c r="J500" s="97"/>
    </row>
    <row r="501" ht="15.75" customHeight="1">
      <c r="B501" s="97"/>
      <c r="C501" s="97"/>
      <c r="D501" s="97"/>
      <c r="J501" s="97"/>
    </row>
    <row r="502" ht="15.75" customHeight="1">
      <c r="B502" s="97"/>
      <c r="C502" s="97"/>
      <c r="D502" s="97"/>
      <c r="J502" s="97"/>
    </row>
    <row r="503" ht="15.75" customHeight="1">
      <c r="B503" s="97"/>
      <c r="C503" s="97"/>
      <c r="D503" s="97"/>
      <c r="J503" s="97"/>
    </row>
    <row r="504" ht="15.75" customHeight="1">
      <c r="B504" s="97"/>
      <c r="C504" s="97"/>
      <c r="D504" s="97"/>
      <c r="J504" s="97"/>
    </row>
    <row r="505" ht="15.75" customHeight="1">
      <c r="B505" s="97"/>
      <c r="C505" s="97"/>
      <c r="D505" s="97"/>
      <c r="J505" s="97"/>
    </row>
    <row r="506" ht="15.75" customHeight="1">
      <c r="B506" s="97"/>
      <c r="C506" s="97"/>
      <c r="D506" s="97"/>
      <c r="J506" s="97"/>
    </row>
    <row r="507" ht="15.75" customHeight="1">
      <c r="B507" s="97"/>
      <c r="C507" s="97"/>
      <c r="D507" s="97"/>
      <c r="J507" s="97"/>
    </row>
    <row r="508" ht="15.75" customHeight="1">
      <c r="B508" s="97"/>
      <c r="C508" s="97"/>
      <c r="D508" s="97"/>
      <c r="J508" s="97"/>
    </row>
    <row r="509" ht="15.75" customHeight="1">
      <c r="B509" s="97"/>
      <c r="C509" s="97"/>
      <c r="D509" s="97"/>
      <c r="J509" s="97"/>
    </row>
    <row r="510" ht="15.75" customHeight="1">
      <c r="B510" s="97"/>
      <c r="C510" s="97"/>
      <c r="D510" s="97"/>
      <c r="J510" s="97"/>
    </row>
    <row r="511" ht="15.75" customHeight="1">
      <c r="B511" s="97"/>
      <c r="C511" s="97"/>
      <c r="D511" s="97"/>
      <c r="J511" s="97"/>
    </row>
    <row r="512" ht="15.75" customHeight="1">
      <c r="B512" s="97"/>
      <c r="C512" s="97"/>
      <c r="D512" s="97"/>
      <c r="J512" s="97"/>
    </row>
    <row r="513" ht="15.75" customHeight="1">
      <c r="B513" s="97"/>
      <c r="C513" s="97"/>
      <c r="D513" s="97"/>
      <c r="J513" s="97"/>
    </row>
    <row r="514" ht="15.75" customHeight="1">
      <c r="B514" s="97"/>
      <c r="C514" s="97"/>
      <c r="D514" s="97"/>
      <c r="J514" s="97"/>
    </row>
    <row r="515" ht="15.75" customHeight="1">
      <c r="B515" s="97"/>
      <c r="C515" s="97"/>
      <c r="D515" s="97"/>
      <c r="J515" s="97"/>
    </row>
    <row r="516" ht="15.75" customHeight="1">
      <c r="B516" s="97"/>
      <c r="C516" s="97"/>
      <c r="D516" s="97"/>
      <c r="J516" s="97"/>
    </row>
    <row r="517" ht="15.75" customHeight="1">
      <c r="B517" s="97"/>
      <c r="C517" s="97"/>
      <c r="D517" s="97"/>
      <c r="J517" s="97"/>
    </row>
    <row r="518" ht="15.75" customHeight="1">
      <c r="B518" s="97"/>
      <c r="C518" s="97"/>
      <c r="D518" s="97"/>
      <c r="J518" s="97"/>
    </row>
    <row r="519" ht="15.75" customHeight="1">
      <c r="B519" s="97"/>
      <c r="C519" s="97"/>
      <c r="D519" s="97"/>
      <c r="J519" s="97"/>
    </row>
    <row r="520" ht="15.75" customHeight="1">
      <c r="B520" s="97"/>
      <c r="C520" s="97"/>
      <c r="D520" s="97"/>
      <c r="J520" s="97"/>
    </row>
    <row r="521" ht="15.75" customHeight="1">
      <c r="B521" s="97"/>
      <c r="C521" s="97"/>
      <c r="D521" s="97"/>
      <c r="J521" s="97"/>
    </row>
    <row r="522" ht="15.75" customHeight="1">
      <c r="B522" s="97"/>
      <c r="C522" s="97"/>
      <c r="D522" s="97"/>
      <c r="J522" s="97"/>
    </row>
    <row r="523" ht="15.75" customHeight="1">
      <c r="B523" s="97"/>
      <c r="C523" s="97"/>
      <c r="D523" s="97"/>
      <c r="J523" s="97"/>
    </row>
    <row r="524" ht="15.75" customHeight="1">
      <c r="B524" s="97"/>
      <c r="C524" s="97"/>
      <c r="D524" s="97"/>
      <c r="J524" s="97"/>
    </row>
    <row r="525" ht="15.75" customHeight="1">
      <c r="B525" s="97"/>
      <c r="C525" s="97"/>
      <c r="D525" s="97"/>
      <c r="J525" s="97"/>
    </row>
    <row r="526" ht="15.75" customHeight="1">
      <c r="B526" s="97"/>
      <c r="C526" s="97"/>
      <c r="D526" s="97"/>
      <c r="J526" s="97"/>
    </row>
    <row r="527" ht="15.75" customHeight="1">
      <c r="B527" s="97"/>
      <c r="C527" s="97"/>
      <c r="D527" s="97"/>
      <c r="J527" s="97"/>
    </row>
    <row r="528" ht="15.75" customHeight="1">
      <c r="B528" s="97"/>
      <c r="C528" s="97"/>
      <c r="D528" s="97"/>
      <c r="J528" s="97"/>
    </row>
    <row r="529" ht="15.75" customHeight="1">
      <c r="B529" s="97"/>
      <c r="C529" s="97"/>
      <c r="D529" s="97"/>
      <c r="J529" s="97"/>
    </row>
    <row r="530" ht="15.75" customHeight="1">
      <c r="B530" s="97"/>
      <c r="C530" s="97"/>
      <c r="D530" s="97"/>
      <c r="J530" s="97"/>
    </row>
    <row r="531" ht="15.75" customHeight="1">
      <c r="B531" s="97"/>
      <c r="C531" s="97"/>
      <c r="D531" s="97"/>
      <c r="J531" s="97"/>
    </row>
    <row r="532" ht="15.75" customHeight="1">
      <c r="B532" s="97"/>
      <c r="C532" s="97"/>
      <c r="D532" s="97"/>
      <c r="J532" s="97"/>
    </row>
    <row r="533" ht="15.75" customHeight="1">
      <c r="B533" s="97"/>
      <c r="C533" s="97"/>
      <c r="D533" s="97"/>
      <c r="J533" s="97"/>
    </row>
    <row r="534" ht="15.75" customHeight="1">
      <c r="B534" s="97"/>
      <c r="C534" s="97"/>
      <c r="D534" s="97"/>
      <c r="J534" s="97"/>
    </row>
    <row r="535" ht="15.75" customHeight="1">
      <c r="B535" s="97"/>
      <c r="C535" s="97"/>
      <c r="D535" s="97"/>
      <c r="J535" s="97"/>
    </row>
    <row r="536" ht="15.75" customHeight="1">
      <c r="B536" s="97"/>
      <c r="C536" s="97"/>
      <c r="D536" s="97"/>
      <c r="J536" s="97"/>
    </row>
    <row r="537" ht="15.75" customHeight="1">
      <c r="B537" s="97"/>
      <c r="C537" s="97"/>
      <c r="D537" s="97"/>
      <c r="J537" s="97"/>
    </row>
    <row r="538" ht="15.75" customHeight="1">
      <c r="B538" s="97"/>
      <c r="C538" s="97"/>
      <c r="D538" s="97"/>
      <c r="J538" s="97"/>
    </row>
    <row r="539" ht="15.75" customHeight="1">
      <c r="B539" s="97"/>
      <c r="C539" s="97"/>
      <c r="D539" s="97"/>
      <c r="J539" s="97"/>
    </row>
    <row r="540" ht="15.75" customHeight="1">
      <c r="B540" s="97"/>
      <c r="C540" s="97"/>
      <c r="D540" s="97"/>
      <c r="J540" s="97"/>
    </row>
    <row r="541" ht="15.75" customHeight="1">
      <c r="B541" s="97"/>
      <c r="C541" s="97"/>
      <c r="D541" s="97"/>
      <c r="J541" s="97"/>
    </row>
    <row r="542" ht="15.75" customHeight="1">
      <c r="B542" s="97"/>
      <c r="C542" s="97"/>
      <c r="D542" s="97"/>
      <c r="J542" s="97"/>
    </row>
    <row r="543" ht="15.75" customHeight="1">
      <c r="B543" s="97"/>
      <c r="C543" s="97"/>
      <c r="D543" s="97"/>
      <c r="J543" s="97"/>
    </row>
    <row r="544" ht="15.75" customHeight="1">
      <c r="B544" s="97"/>
      <c r="C544" s="97"/>
      <c r="D544" s="97"/>
      <c r="J544" s="97"/>
    </row>
    <row r="545" ht="15.75" customHeight="1">
      <c r="B545" s="97"/>
      <c r="C545" s="97"/>
      <c r="D545" s="97"/>
      <c r="J545" s="97"/>
    </row>
    <row r="546" ht="15.75" customHeight="1">
      <c r="B546" s="97"/>
      <c r="C546" s="97"/>
      <c r="D546" s="97"/>
      <c r="J546" s="97"/>
    </row>
    <row r="547" ht="15.75" customHeight="1">
      <c r="B547" s="97"/>
      <c r="C547" s="97"/>
      <c r="D547" s="97"/>
      <c r="J547" s="97"/>
    </row>
    <row r="548" ht="15.75" customHeight="1">
      <c r="B548" s="97"/>
      <c r="C548" s="97"/>
      <c r="D548" s="97"/>
      <c r="J548" s="97"/>
    </row>
    <row r="549" ht="15.75" customHeight="1">
      <c r="B549" s="97"/>
      <c r="C549" s="97"/>
      <c r="D549" s="97"/>
      <c r="J549" s="97"/>
    </row>
    <row r="550" ht="15.75" customHeight="1">
      <c r="B550" s="97"/>
      <c r="C550" s="97"/>
      <c r="D550" s="97"/>
      <c r="J550" s="97"/>
    </row>
    <row r="551" ht="15.75" customHeight="1">
      <c r="B551" s="97"/>
      <c r="C551" s="97"/>
      <c r="D551" s="97"/>
      <c r="J551" s="97"/>
    </row>
    <row r="552" ht="15.75" customHeight="1">
      <c r="B552" s="97"/>
      <c r="C552" s="97"/>
      <c r="D552" s="97"/>
      <c r="J552" s="97"/>
    </row>
    <row r="553" ht="15.75" customHeight="1">
      <c r="B553" s="97"/>
      <c r="C553" s="97"/>
      <c r="D553" s="97"/>
      <c r="J553" s="97"/>
    </row>
    <row r="554" ht="15.75" customHeight="1">
      <c r="B554" s="97"/>
      <c r="C554" s="97"/>
      <c r="D554" s="97"/>
      <c r="J554" s="97"/>
    </row>
    <row r="555" ht="15.75" customHeight="1">
      <c r="B555" s="97"/>
      <c r="C555" s="97"/>
      <c r="D555" s="97"/>
      <c r="J555" s="97"/>
    </row>
    <row r="556" ht="15.75" customHeight="1">
      <c r="B556" s="97"/>
      <c r="C556" s="97"/>
      <c r="D556" s="97"/>
      <c r="J556" s="97"/>
    </row>
    <row r="557" ht="15.75" customHeight="1">
      <c r="B557" s="97"/>
      <c r="C557" s="97"/>
      <c r="D557" s="97"/>
      <c r="J557" s="97"/>
    </row>
    <row r="558" ht="15.75" customHeight="1">
      <c r="B558" s="97"/>
      <c r="C558" s="97"/>
      <c r="D558" s="97"/>
      <c r="J558" s="97"/>
    </row>
    <row r="559" ht="15.75" customHeight="1">
      <c r="B559" s="97"/>
      <c r="C559" s="97"/>
      <c r="D559" s="97"/>
      <c r="J559" s="97"/>
    </row>
    <row r="560" ht="15.75" customHeight="1">
      <c r="B560" s="97"/>
      <c r="C560" s="97"/>
      <c r="D560" s="97"/>
      <c r="J560" s="97"/>
    </row>
    <row r="561" ht="15.75" customHeight="1">
      <c r="B561" s="97"/>
      <c r="C561" s="97"/>
      <c r="D561" s="97"/>
      <c r="J561" s="97"/>
    </row>
    <row r="562" ht="15.75" customHeight="1">
      <c r="B562" s="97"/>
      <c r="C562" s="97"/>
      <c r="D562" s="97"/>
      <c r="J562" s="97"/>
    </row>
    <row r="563" ht="15.75" customHeight="1">
      <c r="B563" s="97"/>
      <c r="C563" s="97"/>
      <c r="D563" s="97"/>
      <c r="J563" s="97"/>
    </row>
    <row r="564" ht="15.75" customHeight="1">
      <c r="B564" s="97"/>
      <c r="C564" s="97"/>
      <c r="D564" s="97"/>
      <c r="J564" s="97"/>
    </row>
    <row r="565" ht="15.75" customHeight="1">
      <c r="B565" s="97"/>
      <c r="C565" s="97"/>
      <c r="D565" s="97"/>
      <c r="J565" s="97"/>
    </row>
    <row r="566" ht="15.75" customHeight="1">
      <c r="B566" s="97"/>
      <c r="C566" s="97"/>
      <c r="D566" s="97"/>
      <c r="J566" s="97"/>
    </row>
    <row r="567" ht="15.75" customHeight="1">
      <c r="B567" s="97"/>
      <c r="C567" s="97"/>
      <c r="D567" s="97"/>
      <c r="J567" s="97"/>
    </row>
    <row r="568" ht="15.75" customHeight="1">
      <c r="B568" s="97"/>
      <c r="C568" s="97"/>
      <c r="D568" s="97"/>
      <c r="J568" s="97"/>
    </row>
    <row r="569" ht="15.75" customHeight="1">
      <c r="B569" s="97"/>
      <c r="C569" s="97"/>
      <c r="D569" s="97"/>
      <c r="J569" s="97"/>
    </row>
    <row r="570" ht="15.75" customHeight="1">
      <c r="B570" s="97"/>
      <c r="C570" s="97"/>
      <c r="D570" s="97"/>
      <c r="J570" s="97"/>
    </row>
    <row r="571" ht="15.75" customHeight="1">
      <c r="B571" s="97"/>
      <c r="C571" s="97"/>
      <c r="D571" s="97"/>
      <c r="J571" s="97"/>
    </row>
    <row r="572" ht="15.75" customHeight="1">
      <c r="B572" s="97"/>
      <c r="C572" s="97"/>
      <c r="D572" s="97"/>
      <c r="J572" s="97"/>
    </row>
    <row r="573" ht="15.75" customHeight="1">
      <c r="B573" s="97"/>
      <c r="C573" s="97"/>
      <c r="D573" s="97"/>
      <c r="J573" s="97"/>
    </row>
    <row r="574" ht="15.75" customHeight="1">
      <c r="B574" s="97"/>
      <c r="C574" s="97"/>
      <c r="D574" s="97"/>
      <c r="J574" s="97"/>
    </row>
    <row r="575" ht="15.75" customHeight="1">
      <c r="B575" s="97"/>
      <c r="C575" s="97"/>
      <c r="D575" s="97"/>
      <c r="J575" s="97"/>
    </row>
    <row r="576" ht="15.75" customHeight="1">
      <c r="B576" s="97"/>
      <c r="C576" s="97"/>
      <c r="D576" s="97"/>
      <c r="J576" s="97"/>
    </row>
    <row r="577" ht="15.75" customHeight="1">
      <c r="B577" s="97"/>
      <c r="C577" s="97"/>
      <c r="D577" s="97"/>
      <c r="J577" s="97"/>
    </row>
    <row r="578" ht="15.75" customHeight="1">
      <c r="B578" s="97"/>
      <c r="C578" s="97"/>
      <c r="D578" s="97"/>
      <c r="J578" s="97"/>
    </row>
    <row r="579" ht="15.75" customHeight="1">
      <c r="B579" s="97"/>
      <c r="C579" s="97"/>
      <c r="D579" s="97"/>
      <c r="J579" s="97"/>
    </row>
    <row r="580" ht="15.75" customHeight="1">
      <c r="B580" s="97"/>
      <c r="C580" s="97"/>
      <c r="D580" s="97"/>
      <c r="J580" s="97"/>
    </row>
    <row r="581" ht="15.75" customHeight="1">
      <c r="B581" s="97"/>
      <c r="C581" s="97"/>
      <c r="D581" s="97"/>
      <c r="J581" s="97"/>
    </row>
    <row r="582" ht="15.75" customHeight="1">
      <c r="B582" s="97"/>
      <c r="C582" s="97"/>
      <c r="D582" s="97"/>
      <c r="J582" s="97"/>
    </row>
    <row r="583" ht="15.75" customHeight="1">
      <c r="B583" s="97"/>
      <c r="C583" s="97"/>
      <c r="D583" s="97"/>
      <c r="J583" s="97"/>
    </row>
    <row r="584" ht="15.75" customHeight="1">
      <c r="B584" s="97"/>
      <c r="C584" s="97"/>
      <c r="D584" s="97"/>
      <c r="J584" s="97"/>
    </row>
    <row r="585" ht="15.75" customHeight="1">
      <c r="B585" s="97"/>
      <c r="C585" s="97"/>
      <c r="D585" s="97"/>
      <c r="J585" s="97"/>
    </row>
    <row r="586" ht="15.75" customHeight="1">
      <c r="B586" s="97"/>
      <c r="C586" s="97"/>
      <c r="D586" s="97"/>
      <c r="J586" s="97"/>
    </row>
    <row r="587" ht="15.75" customHeight="1">
      <c r="B587" s="97"/>
      <c r="C587" s="97"/>
      <c r="D587" s="97"/>
      <c r="J587" s="97"/>
    </row>
    <row r="588" ht="15.75" customHeight="1">
      <c r="B588" s="97"/>
      <c r="C588" s="97"/>
      <c r="D588" s="97"/>
      <c r="J588" s="97"/>
    </row>
    <row r="589" ht="15.75" customHeight="1">
      <c r="B589" s="97"/>
      <c r="C589" s="97"/>
      <c r="D589" s="97"/>
      <c r="J589" s="97"/>
    </row>
    <row r="590" ht="15.75" customHeight="1">
      <c r="B590" s="97"/>
      <c r="C590" s="97"/>
      <c r="D590" s="97"/>
      <c r="J590" s="97"/>
    </row>
    <row r="591" ht="15.75" customHeight="1">
      <c r="B591" s="97"/>
      <c r="C591" s="97"/>
      <c r="D591" s="97"/>
      <c r="J591" s="97"/>
    </row>
    <row r="592" ht="15.75" customHeight="1">
      <c r="B592" s="97"/>
      <c r="C592" s="97"/>
      <c r="D592" s="97"/>
      <c r="J592" s="97"/>
    </row>
    <row r="593" ht="15.75" customHeight="1">
      <c r="B593" s="97"/>
      <c r="C593" s="97"/>
      <c r="D593" s="97"/>
      <c r="J593" s="97"/>
    </row>
    <row r="594" ht="15.75" customHeight="1">
      <c r="B594" s="97"/>
      <c r="C594" s="97"/>
      <c r="D594" s="97"/>
      <c r="J594" s="97"/>
    </row>
    <row r="595" ht="15.75" customHeight="1">
      <c r="B595" s="97"/>
      <c r="C595" s="97"/>
      <c r="D595" s="97"/>
      <c r="J595" s="97"/>
    </row>
    <row r="596" ht="15.75" customHeight="1">
      <c r="B596" s="97"/>
      <c r="C596" s="97"/>
      <c r="D596" s="97"/>
      <c r="J596" s="97"/>
    </row>
    <row r="597" ht="15.75" customHeight="1">
      <c r="B597" s="97"/>
      <c r="C597" s="97"/>
      <c r="D597" s="97"/>
      <c r="J597" s="97"/>
    </row>
    <row r="598" ht="15.75" customHeight="1">
      <c r="B598" s="97"/>
      <c r="C598" s="97"/>
      <c r="D598" s="97"/>
      <c r="J598" s="97"/>
    </row>
    <row r="599" ht="15.75" customHeight="1">
      <c r="B599" s="97"/>
      <c r="C599" s="97"/>
      <c r="D599" s="97"/>
      <c r="J599" s="97"/>
    </row>
    <row r="600" ht="15.75" customHeight="1">
      <c r="B600" s="97"/>
      <c r="C600" s="97"/>
      <c r="D600" s="97"/>
      <c r="J600" s="97"/>
    </row>
    <row r="601" ht="15.75" customHeight="1">
      <c r="B601" s="97"/>
      <c r="C601" s="97"/>
      <c r="D601" s="97"/>
      <c r="J601" s="97"/>
    </row>
    <row r="602" ht="15.75" customHeight="1">
      <c r="B602" s="97"/>
      <c r="C602" s="97"/>
      <c r="D602" s="97"/>
      <c r="J602" s="97"/>
    </row>
    <row r="603" ht="15.75" customHeight="1">
      <c r="B603" s="97"/>
      <c r="C603" s="97"/>
      <c r="D603" s="97"/>
      <c r="J603" s="97"/>
    </row>
    <row r="604" ht="15.75" customHeight="1">
      <c r="B604" s="97"/>
      <c r="C604" s="97"/>
      <c r="D604" s="97"/>
      <c r="J604" s="97"/>
    </row>
    <row r="605" ht="15.75" customHeight="1">
      <c r="B605" s="97"/>
      <c r="C605" s="97"/>
      <c r="D605" s="97"/>
      <c r="J605" s="97"/>
    </row>
    <row r="606" ht="15.75" customHeight="1">
      <c r="B606" s="97"/>
      <c r="C606" s="97"/>
      <c r="D606" s="97"/>
      <c r="J606" s="97"/>
    </row>
    <row r="607" ht="15.75" customHeight="1">
      <c r="B607" s="97"/>
      <c r="C607" s="97"/>
      <c r="D607" s="97"/>
      <c r="J607" s="97"/>
    </row>
    <row r="608" ht="15.75" customHeight="1">
      <c r="B608" s="97"/>
      <c r="C608" s="97"/>
      <c r="D608" s="97"/>
      <c r="J608" s="97"/>
    </row>
    <row r="609" ht="15.75" customHeight="1">
      <c r="B609" s="97"/>
      <c r="C609" s="97"/>
      <c r="D609" s="97"/>
      <c r="J609" s="97"/>
    </row>
    <row r="610" ht="15.75" customHeight="1">
      <c r="B610" s="97"/>
      <c r="C610" s="97"/>
      <c r="D610" s="97"/>
      <c r="J610" s="97"/>
    </row>
    <row r="611" ht="15.75" customHeight="1">
      <c r="B611" s="97"/>
      <c r="C611" s="97"/>
      <c r="D611" s="97"/>
      <c r="J611" s="97"/>
    </row>
    <row r="612" ht="15.75" customHeight="1">
      <c r="B612" s="97"/>
      <c r="C612" s="97"/>
      <c r="D612" s="97"/>
      <c r="J612" s="97"/>
    </row>
    <row r="613" ht="15.75" customHeight="1">
      <c r="B613" s="97"/>
      <c r="C613" s="97"/>
      <c r="D613" s="97"/>
      <c r="J613" s="97"/>
    </row>
    <row r="614" ht="15.75" customHeight="1">
      <c r="B614" s="97"/>
      <c r="C614" s="97"/>
      <c r="D614" s="97"/>
      <c r="J614" s="97"/>
    </row>
    <row r="615" ht="15.75" customHeight="1">
      <c r="B615" s="97"/>
      <c r="C615" s="97"/>
      <c r="D615" s="97"/>
      <c r="J615" s="97"/>
    </row>
    <row r="616" ht="15.75" customHeight="1">
      <c r="B616" s="97"/>
      <c r="C616" s="97"/>
      <c r="D616" s="97"/>
      <c r="J616" s="97"/>
    </row>
    <row r="617" ht="15.75" customHeight="1">
      <c r="B617" s="97"/>
      <c r="C617" s="97"/>
      <c r="D617" s="97"/>
      <c r="J617" s="97"/>
    </row>
    <row r="618" ht="15.75" customHeight="1">
      <c r="B618" s="97"/>
      <c r="C618" s="97"/>
      <c r="D618" s="97"/>
      <c r="J618" s="97"/>
    </row>
    <row r="619" ht="15.75" customHeight="1">
      <c r="B619" s="97"/>
      <c r="C619" s="97"/>
      <c r="D619" s="97"/>
      <c r="J619" s="97"/>
    </row>
    <row r="620" ht="15.75" customHeight="1">
      <c r="B620" s="97"/>
      <c r="C620" s="97"/>
      <c r="D620" s="97"/>
      <c r="J620" s="97"/>
    </row>
    <row r="621" ht="15.75" customHeight="1">
      <c r="B621" s="97"/>
      <c r="C621" s="97"/>
      <c r="D621" s="97"/>
      <c r="J621" s="97"/>
    </row>
    <row r="622" ht="15.75" customHeight="1">
      <c r="B622" s="97"/>
      <c r="C622" s="97"/>
      <c r="D622" s="97"/>
      <c r="J622" s="97"/>
    </row>
    <row r="623" ht="15.75" customHeight="1">
      <c r="B623" s="97"/>
      <c r="C623" s="97"/>
      <c r="D623" s="97"/>
      <c r="J623" s="97"/>
    </row>
    <row r="624" ht="15.75" customHeight="1">
      <c r="B624" s="97"/>
      <c r="C624" s="97"/>
      <c r="D624" s="97"/>
      <c r="J624" s="97"/>
    </row>
    <row r="625" ht="15.75" customHeight="1">
      <c r="B625" s="97"/>
      <c r="C625" s="97"/>
      <c r="D625" s="97"/>
      <c r="J625" s="97"/>
    </row>
    <row r="626" ht="15.75" customHeight="1">
      <c r="B626" s="97"/>
      <c r="C626" s="97"/>
      <c r="D626" s="97"/>
      <c r="J626" s="97"/>
    </row>
    <row r="627" ht="15.75" customHeight="1">
      <c r="B627" s="97"/>
      <c r="C627" s="97"/>
      <c r="D627" s="97"/>
      <c r="J627" s="97"/>
    </row>
    <row r="628" ht="15.75" customHeight="1">
      <c r="B628" s="97"/>
      <c r="C628" s="97"/>
      <c r="D628" s="97"/>
      <c r="J628" s="97"/>
    </row>
    <row r="629" ht="15.75" customHeight="1">
      <c r="B629" s="97"/>
      <c r="C629" s="97"/>
      <c r="D629" s="97"/>
      <c r="J629" s="97"/>
    </row>
    <row r="630" ht="15.75" customHeight="1">
      <c r="B630" s="97"/>
      <c r="C630" s="97"/>
      <c r="D630" s="97"/>
      <c r="J630" s="97"/>
    </row>
    <row r="631" ht="15.75" customHeight="1">
      <c r="B631" s="97"/>
      <c r="C631" s="97"/>
      <c r="D631" s="97"/>
      <c r="J631" s="97"/>
    </row>
    <row r="632" ht="15.75" customHeight="1">
      <c r="B632" s="97"/>
      <c r="C632" s="97"/>
      <c r="D632" s="97"/>
      <c r="J632" s="97"/>
    </row>
    <row r="633" ht="15.75" customHeight="1">
      <c r="B633" s="97"/>
      <c r="C633" s="97"/>
      <c r="D633" s="97"/>
      <c r="J633" s="97"/>
    </row>
    <row r="634" ht="15.75" customHeight="1">
      <c r="B634" s="97"/>
      <c r="C634" s="97"/>
      <c r="D634" s="97"/>
      <c r="J634" s="97"/>
    </row>
    <row r="635" ht="15.75" customHeight="1">
      <c r="B635" s="97"/>
      <c r="C635" s="97"/>
      <c r="D635" s="97"/>
      <c r="J635" s="97"/>
    </row>
    <row r="636" ht="15.75" customHeight="1">
      <c r="B636" s="97"/>
      <c r="C636" s="97"/>
      <c r="D636" s="97"/>
      <c r="J636" s="97"/>
    </row>
    <row r="637" ht="15.75" customHeight="1">
      <c r="B637" s="97"/>
      <c r="C637" s="97"/>
      <c r="D637" s="97"/>
      <c r="J637" s="97"/>
    </row>
    <row r="638" ht="15.75" customHeight="1">
      <c r="B638" s="97"/>
      <c r="C638" s="97"/>
      <c r="D638" s="97"/>
      <c r="J638" s="97"/>
    </row>
    <row r="639" ht="15.75" customHeight="1">
      <c r="B639" s="97"/>
      <c r="C639" s="97"/>
      <c r="D639" s="97"/>
      <c r="J639" s="97"/>
    </row>
    <row r="640" ht="15.75" customHeight="1">
      <c r="B640" s="97"/>
      <c r="C640" s="97"/>
      <c r="D640" s="97"/>
      <c r="J640" s="97"/>
    </row>
    <row r="641" ht="15.75" customHeight="1">
      <c r="B641" s="97"/>
      <c r="C641" s="97"/>
      <c r="D641" s="97"/>
      <c r="J641" s="97"/>
    </row>
    <row r="642" ht="15.75" customHeight="1">
      <c r="B642" s="97"/>
      <c r="C642" s="97"/>
      <c r="D642" s="97"/>
      <c r="J642" s="97"/>
    </row>
    <row r="643" ht="15.75" customHeight="1">
      <c r="B643" s="97"/>
      <c r="C643" s="97"/>
      <c r="D643" s="97"/>
      <c r="J643" s="97"/>
    </row>
    <row r="644" ht="15.75" customHeight="1">
      <c r="B644" s="97"/>
      <c r="C644" s="97"/>
      <c r="D644" s="97"/>
      <c r="J644" s="97"/>
    </row>
    <row r="645" ht="15.75" customHeight="1">
      <c r="B645" s="97"/>
      <c r="C645" s="97"/>
      <c r="D645" s="97"/>
      <c r="J645" s="97"/>
    </row>
    <row r="646" ht="15.75" customHeight="1">
      <c r="B646" s="97"/>
      <c r="C646" s="97"/>
      <c r="D646" s="97"/>
      <c r="J646" s="97"/>
    </row>
    <row r="647" ht="15.75" customHeight="1">
      <c r="B647" s="97"/>
      <c r="C647" s="97"/>
      <c r="D647" s="97"/>
      <c r="J647" s="97"/>
    </row>
    <row r="648" ht="15.75" customHeight="1">
      <c r="B648" s="97"/>
      <c r="C648" s="97"/>
      <c r="D648" s="97"/>
      <c r="J648" s="97"/>
    </row>
    <row r="649" ht="15.75" customHeight="1">
      <c r="B649" s="97"/>
      <c r="C649" s="97"/>
      <c r="D649" s="97"/>
      <c r="J649" s="97"/>
    </row>
    <row r="650" ht="15.75" customHeight="1">
      <c r="B650" s="97"/>
      <c r="C650" s="97"/>
      <c r="D650" s="97"/>
      <c r="J650" s="97"/>
    </row>
    <row r="651" ht="15.75" customHeight="1">
      <c r="B651" s="97"/>
      <c r="C651" s="97"/>
      <c r="D651" s="97"/>
      <c r="J651" s="97"/>
    </row>
    <row r="652" ht="15.75" customHeight="1">
      <c r="B652" s="97"/>
      <c r="C652" s="97"/>
      <c r="D652" s="97"/>
      <c r="J652" s="97"/>
    </row>
    <row r="653" ht="15.75" customHeight="1">
      <c r="B653" s="97"/>
      <c r="C653" s="97"/>
      <c r="D653" s="97"/>
      <c r="J653" s="97"/>
    </row>
    <row r="654" ht="15.75" customHeight="1">
      <c r="B654" s="97"/>
      <c r="C654" s="97"/>
      <c r="D654" s="97"/>
      <c r="J654" s="97"/>
    </row>
    <row r="655" ht="15.75" customHeight="1">
      <c r="B655" s="97"/>
      <c r="C655" s="97"/>
      <c r="D655" s="97"/>
      <c r="J655" s="97"/>
    </row>
    <row r="656" ht="15.75" customHeight="1">
      <c r="B656" s="97"/>
      <c r="C656" s="97"/>
      <c r="D656" s="97"/>
      <c r="J656" s="97"/>
    </row>
    <row r="657" ht="15.75" customHeight="1">
      <c r="B657" s="97"/>
      <c r="C657" s="97"/>
      <c r="D657" s="97"/>
      <c r="J657" s="97"/>
    </row>
    <row r="658" ht="15.75" customHeight="1">
      <c r="B658" s="97"/>
      <c r="C658" s="97"/>
      <c r="D658" s="97"/>
      <c r="J658" s="97"/>
    </row>
    <row r="659" ht="15.75" customHeight="1">
      <c r="B659" s="97"/>
      <c r="C659" s="97"/>
      <c r="D659" s="97"/>
      <c r="J659" s="97"/>
    </row>
    <row r="660" ht="15.75" customHeight="1">
      <c r="B660" s="97"/>
      <c r="C660" s="97"/>
      <c r="D660" s="97"/>
      <c r="J660" s="97"/>
    </row>
    <row r="661" ht="15.75" customHeight="1">
      <c r="B661" s="97"/>
      <c r="C661" s="97"/>
      <c r="D661" s="97"/>
      <c r="J661" s="97"/>
    </row>
    <row r="662" ht="15.75" customHeight="1">
      <c r="B662" s="97"/>
      <c r="C662" s="97"/>
      <c r="D662" s="97"/>
      <c r="J662" s="97"/>
    </row>
    <row r="663" ht="15.75" customHeight="1">
      <c r="B663" s="97"/>
      <c r="C663" s="97"/>
      <c r="D663" s="97"/>
      <c r="J663" s="97"/>
    </row>
    <row r="664" ht="15.75" customHeight="1">
      <c r="B664" s="97"/>
      <c r="C664" s="97"/>
      <c r="D664" s="97"/>
      <c r="J664" s="97"/>
    </row>
    <row r="665" ht="15.75" customHeight="1">
      <c r="B665" s="97"/>
      <c r="C665" s="97"/>
      <c r="D665" s="97"/>
      <c r="J665" s="97"/>
    </row>
    <row r="666" ht="15.75" customHeight="1">
      <c r="B666" s="97"/>
      <c r="C666" s="97"/>
      <c r="D666" s="97"/>
      <c r="J666" s="97"/>
    </row>
    <row r="667" ht="15.75" customHeight="1">
      <c r="B667" s="97"/>
      <c r="C667" s="97"/>
      <c r="D667" s="97"/>
      <c r="J667" s="97"/>
    </row>
    <row r="668" ht="15.75" customHeight="1">
      <c r="B668" s="97"/>
      <c r="C668" s="97"/>
      <c r="D668" s="97"/>
      <c r="J668" s="97"/>
    </row>
    <row r="669" ht="15.75" customHeight="1">
      <c r="B669" s="97"/>
      <c r="C669" s="97"/>
      <c r="D669" s="97"/>
      <c r="J669" s="97"/>
    </row>
    <row r="670" ht="15.75" customHeight="1">
      <c r="B670" s="97"/>
      <c r="C670" s="97"/>
      <c r="D670" s="97"/>
      <c r="J670" s="97"/>
    </row>
    <row r="671" ht="15.75" customHeight="1">
      <c r="B671" s="97"/>
      <c r="C671" s="97"/>
      <c r="D671" s="97"/>
      <c r="J671" s="97"/>
    </row>
    <row r="672" ht="15.75" customHeight="1">
      <c r="B672" s="97"/>
      <c r="C672" s="97"/>
      <c r="D672" s="97"/>
      <c r="J672" s="97"/>
    </row>
    <row r="673" ht="15.75" customHeight="1">
      <c r="B673" s="97"/>
      <c r="C673" s="97"/>
      <c r="D673" s="97"/>
      <c r="J673" s="97"/>
    </row>
    <row r="674" ht="15.75" customHeight="1">
      <c r="B674" s="97"/>
      <c r="C674" s="97"/>
      <c r="D674" s="97"/>
      <c r="J674" s="97"/>
    </row>
    <row r="675" ht="15.75" customHeight="1">
      <c r="B675" s="97"/>
      <c r="C675" s="97"/>
      <c r="D675" s="97"/>
      <c r="J675" s="97"/>
    </row>
    <row r="676" ht="15.75" customHeight="1">
      <c r="B676" s="97"/>
      <c r="C676" s="97"/>
      <c r="D676" s="97"/>
      <c r="J676" s="97"/>
    </row>
    <row r="677" ht="15.75" customHeight="1">
      <c r="B677" s="97"/>
      <c r="C677" s="97"/>
      <c r="D677" s="97"/>
      <c r="J677" s="97"/>
    </row>
    <row r="678" ht="15.75" customHeight="1">
      <c r="B678" s="97"/>
      <c r="C678" s="97"/>
      <c r="D678" s="97"/>
      <c r="J678" s="97"/>
    </row>
    <row r="679" ht="15.75" customHeight="1">
      <c r="B679" s="97"/>
      <c r="C679" s="97"/>
      <c r="D679" s="97"/>
      <c r="J679" s="97"/>
    </row>
    <row r="680" ht="15.75" customHeight="1">
      <c r="B680" s="97"/>
      <c r="C680" s="97"/>
      <c r="D680" s="97"/>
      <c r="J680" s="97"/>
    </row>
    <row r="681" ht="15.75" customHeight="1">
      <c r="B681" s="97"/>
      <c r="C681" s="97"/>
      <c r="D681" s="97"/>
      <c r="J681" s="97"/>
    </row>
    <row r="682" ht="15.75" customHeight="1">
      <c r="B682" s="97"/>
      <c r="C682" s="97"/>
      <c r="D682" s="97"/>
      <c r="J682" s="97"/>
    </row>
    <row r="683" ht="15.75" customHeight="1">
      <c r="B683" s="97"/>
      <c r="C683" s="97"/>
      <c r="D683" s="97"/>
      <c r="J683" s="97"/>
    </row>
    <row r="684" ht="15.75" customHeight="1">
      <c r="B684" s="97"/>
      <c r="C684" s="97"/>
      <c r="D684" s="97"/>
      <c r="J684" s="97"/>
    </row>
    <row r="685" ht="15.75" customHeight="1">
      <c r="B685" s="97"/>
      <c r="C685" s="97"/>
      <c r="D685" s="97"/>
      <c r="J685" s="97"/>
    </row>
    <row r="686" ht="15.75" customHeight="1">
      <c r="B686" s="97"/>
      <c r="C686" s="97"/>
      <c r="D686" s="97"/>
      <c r="J686" s="97"/>
    </row>
    <row r="687" ht="15.75" customHeight="1">
      <c r="B687" s="97"/>
      <c r="C687" s="97"/>
      <c r="D687" s="97"/>
      <c r="J687" s="97"/>
    </row>
    <row r="688" ht="15.75" customHeight="1">
      <c r="B688" s="97"/>
      <c r="C688" s="97"/>
      <c r="D688" s="97"/>
      <c r="J688" s="97"/>
    </row>
    <row r="689" ht="15.75" customHeight="1">
      <c r="B689" s="97"/>
      <c r="C689" s="97"/>
      <c r="D689" s="97"/>
      <c r="J689" s="97"/>
    </row>
    <row r="690" ht="15.75" customHeight="1">
      <c r="B690" s="97"/>
      <c r="C690" s="97"/>
      <c r="D690" s="97"/>
      <c r="J690" s="97"/>
    </row>
    <row r="691" ht="15.75" customHeight="1">
      <c r="B691" s="97"/>
      <c r="C691" s="97"/>
      <c r="D691" s="97"/>
      <c r="J691" s="97"/>
    </row>
    <row r="692" ht="15.75" customHeight="1">
      <c r="B692" s="97"/>
      <c r="C692" s="97"/>
      <c r="D692" s="97"/>
      <c r="J692" s="97"/>
    </row>
    <row r="693" ht="15.75" customHeight="1">
      <c r="B693" s="97"/>
      <c r="C693" s="97"/>
      <c r="D693" s="97"/>
      <c r="J693" s="97"/>
    </row>
    <row r="694" ht="15.75" customHeight="1">
      <c r="B694" s="97"/>
      <c r="C694" s="97"/>
      <c r="D694" s="97"/>
      <c r="J694" s="97"/>
    </row>
    <row r="695" ht="15.75" customHeight="1">
      <c r="B695" s="97"/>
      <c r="C695" s="97"/>
      <c r="D695" s="97"/>
      <c r="J695" s="97"/>
    </row>
    <row r="696" ht="15.75" customHeight="1">
      <c r="B696" s="97"/>
      <c r="C696" s="97"/>
      <c r="D696" s="97"/>
      <c r="J696" s="97"/>
    </row>
    <row r="697" ht="15.75" customHeight="1">
      <c r="B697" s="97"/>
      <c r="C697" s="97"/>
      <c r="D697" s="97"/>
      <c r="J697" s="97"/>
    </row>
    <row r="698" ht="15.75" customHeight="1">
      <c r="B698" s="97"/>
      <c r="C698" s="97"/>
      <c r="D698" s="97"/>
      <c r="J698" s="97"/>
    </row>
    <row r="699" ht="15.75" customHeight="1">
      <c r="B699" s="97"/>
      <c r="C699" s="97"/>
      <c r="D699" s="97"/>
      <c r="J699" s="97"/>
    </row>
    <row r="700" ht="15.75" customHeight="1">
      <c r="B700" s="97"/>
      <c r="C700" s="97"/>
      <c r="D700" s="97"/>
      <c r="J700" s="97"/>
    </row>
    <row r="701" ht="15.75" customHeight="1">
      <c r="B701" s="97"/>
      <c r="C701" s="97"/>
      <c r="D701" s="97"/>
      <c r="J701" s="97"/>
    </row>
    <row r="702" ht="15.75" customHeight="1">
      <c r="B702" s="97"/>
      <c r="C702" s="97"/>
      <c r="D702" s="97"/>
      <c r="J702" s="97"/>
    </row>
    <row r="703" ht="15.75" customHeight="1">
      <c r="B703" s="97"/>
      <c r="C703" s="97"/>
      <c r="D703" s="97"/>
      <c r="J703" s="97"/>
    </row>
    <row r="704" ht="15.75" customHeight="1">
      <c r="B704" s="97"/>
      <c r="C704" s="97"/>
      <c r="D704" s="97"/>
      <c r="J704" s="97"/>
    </row>
    <row r="705" ht="15.75" customHeight="1">
      <c r="B705" s="97"/>
      <c r="C705" s="97"/>
      <c r="D705" s="97"/>
      <c r="J705" s="97"/>
    </row>
    <row r="706" ht="15.75" customHeight="1">
      <c r="B706" s="97"/>
      <c r="C706" s="97"/>
      <c r="D706" s="97"/>
      <c r="J706" s="97"/>
    </row>
    <row r="707" ht="15.75" customHeight="1">
      <c r="B707" s="97"/>
      <c r="C707" s="97"/>
      <c r="D707" s="97"/>
      <c r="J707" s="97"/>
    </row>
    <row r="708" ht="15.75" customHeight="1">
      <c r="B708" s="97"/>
      <c r="C708" s="97"/>
      <c r="D708" s="97"/>
      <c r="J708" s="97"/>
    </row>
    <row r="709" ht="15.75" customHeight="1">
      <c r="B709" s="97"/>
      <c r="C709" s="97"/>
      <c r="D709" s="97"/>
      <c r="J709" s="97"/>
    </row>
    <row r="710" ht="15.75" customHeight="1">
      <c r="B710" s="97"/>
      <c r="C710" s="97"/>
      <c r="D710" s="97"/>
      <c r="J710" s="97"/>
    </row>
    <row r="711" ht="15.75" customHeight="1">
      <c r="B711" s="97"/>
      <c r="C711" s="97"/>
      <c r="D711" s="97"/>
      <c r="J711" s="97"/>
    </row>
    <row r="712" ht="15.75" customHeight="1">
      <c r="B712" s="97"/>
      <c r="C712" s="97"/>
      <c r="D712" s="97"/>
      <c r="J712" s="97"/>
    </row>
    <row r="713" ht="15.75" customHeight="1">
      <c r="B713" s="97"/>
      <c r="C713" s="97"/>
      <c r="D713" s="97"/>
      <c r="J713" s="97"/>
    </row>
    <row r="714" ht="15.75" customHeight="1">
      <c r="B714" s="97"/>
      <c r="C714" s="97"/>
      <c r="D714" s="97"/>
      <c r="J714" s="97"/>
    </row>
    <row r="715" ht="15.75" customHeight="1">
      <c r="B715" s="97"/>
      <c r="C715" s="97"/>
      <c r="D715" s="97"/>
      <c r="J715" s="97"/>
    </row>
    <row r="716" ht="15.75" customHeight="1">
      <c r="B716" s="97"/>
      <c r="C716" s="97"/>
      <c r="D716" s="97"/>
      <c r="J716" s="97"/>
    </row>
    <row r="717" ht="15.75" customHeight="1">
      <c r="B717" s="97"/>
      <c r="C717" s="97"/>
      <c r="D717" s="97"/>
      <c r="J717" s="97"/>
    </row>
    <row r="718" ht="15.75" customHeight="1">
      <c r="B718" s="97"/>
      <c r="C718" s="97"/>
      <c r="D718" s="97"/>
      <c r="J718" s="97"/>
    </row>
    <row r="719" ht="15.75" customHeight="1">
      <c r="B719" s="97"/>
      <c r="C719" s="97"/>
      <c r="D719" s="97"/>
      <c r="J719" s="97"/>
    </row>
    <row r="720" ht="15.75" customHeight="1">
      <c r="B720" s="97"/>
      <c r="C720" s="97"/>
      <c r="D720" s="97"/>
      <c r="J720" s="97"/>
    </row>
    <row r="721" ht="15.75" customHeight="1">
      <c r="B721" s="97"/>
      <c r="C721" s="97"/>
      <c r="D721" s="97"/>
      <c r="J721" s="97"/>
    </row>
    <row r="722" ht="15.75" customHeight="1">
      <c r="B722" s="97"/>
      <c r="C722" s="97"/>
      <c r="D722" s="97"/>
      <c r="J722" s="97"/>
    </row>
    <row r="723" ht="15.75" customHeight="1">
      <c r="B723" s="97"/>
      <c r="C723" s="97"/>
      <c r="D723" s="97"/>
      <c r="J723" s="97"/>
    </row>
    <row r="724" ht="15.75" customHeight="1">
      <c r="B724" s="97"/>
      <c r="C724" s="97"/>
      <c r="D724" s="97"/>
      <c r="J724" s="97"/>
    </row>
    <row r="725" ht="15.75" customHeight="1">
      <c r="B725" s="97"/>
      <c r="C725" s="97"/>
      <c r="D725" s="97"/>
      <c r="J725" s="97"/>
    </row>
    <row r="726" ht="15.75" customHeight="1">
      <c r="B726" s="97"/>
      <c r="C726" s="97"/>
      <c r="D726" s="97"/>
      <c r="J726" s="97"/>
    </row>
    <row r="727" ht="15.75" customHeight="1">
      <c r="B727" s="97"/>
      <c r="C727" s="97"/>
      <c r="D727" s="97"/>
      <c r="J727" s="97"/>
    </row>
    <row r="728" ht="15.75" customHeight="1">
      <c r="B728" s="97"/>
      <c r="C728" s="97"/>
      <c r="D728" s="97"/>
      <c r="J728" s="97"/>
    </row>
    <row r="729" ht="15.75" customHeight="1">
      <c r="B729" s="97"/>
      <c r="C729" s="97"/>
      <c r="D729" s="97"/>
      <c r="J729" s="97"/>
    </row>
    <row r="730" ht="15.75" customHeight="1">
      <c r="B730" s="97"/>
      <c r="C730" s="97"/>
      <c r="D730" s="97"/>
      <c r="J730" s="97"/>
    </row>
    <row r="731" ht="15.75" customHeight="1">
      <c r="B731" s="97"/>
      <c r="C731" s="97"/>
      <c r="D731" s="97"/>
      <c r="J731" s="97"/>
    </row>
    <row r="732" ht="15.75" customHeight="1">
      <c r="B732" s="97"/>
      <c r="C732" s="97"/>
      <c r="D732" s="97"/>
      <c r="J732" s="97"/>
    </row>
    <row r="733" ht="15.75" customHeight="1">
      <c r="B733" s="97"/>
      <c r="C733" s="97"/>
      <c r="D733" s="97"/>
      <c r="J733" s="97"/>
    </row>
    <row r="734" ht="15.75" customHeight="1">
      <c r="B734" s="97"/>
      <c r="C734" s="97"/>
      <c r="D734" s="97"/>
      <c r="J734" s="97"/>
    </row>
    <row r="735" ht="15.75" customHeight="1">
      <c r="B735" s="97"/>
      <c r="C735" s="97"/>
      <c r="D735" s="97"/>
      <c r="J735" s="97"/>
    </row>
    <row r="736" ht="15.75" customHeight="1">
      <c r="B736" s="97"/>
      <c r="C736" s="97"/>
      <c r="D736" s="97"/>
      <c r="J736" s="97"/>
    </row>
    <row r="737" ht="15.75" customHeight="1">
      <c r="B737" s="97"/>
      <c r="C737" s="97"/>
      <c r="D737" s="97"/>
      <c r="J737" s="97"/>
    </row>
    <row r="738" ht="15.75" customHeight="1">
      <c r="B738" s="97"/>
      <c r="C738" s="97"/>
      <c r="D738" s="97"/>
      <c r="J738" s="97"/>
    </row>
    <row r="739" ht="15.75" customHeight="1">
      <c r="B739" s="97"/>
      <c r="C739" s="97"/>
      <c r="D739" s="97"/>
      <c r="J739" s="97"/>
    </row>
    <row r="740" ht="15.75" customHeight="1">
      <c r="B740" s="97"/>
      <c r="C740" s="97"/>
      <c r="D740" s="97"/>
      <c r="J740" s="97"/>
    </row>
    <row r="741" ht="15.75" customHeight="1">
      <c r="B741" s="97"/>
      <c r="C741" s="97"/>
      <c r="D741" s="97"/>
      <c r="J741" s="97"/>
    </row>
    <row r="742" ht="15.75" customHeight="1">
      <c r="B742" s="97"/>
      <c r="C742" s="97"/>
      <c r="D742" s="97"/>
      <c r="J742" s="97"/>
    </row>
    <row r="743" ht="15.75" customHeight="1">
      <c r="B743" s="97"/>
      <c r="C743" s="97"/>
      <c r="D743" s="97"/>
      <c r="J743" s="97"/>
    </row>
    <row r="744" ht="15.75" customHeight="1">
      <c r="B744" s="97"/>
      <c r="C744" s="97"/>
      <c r="D744" s="97"/>
      <c r="J744" s="97"/>
    </row>
    <row r="745" ht="15.75" customHeight="1">
      <c r="B745" s="97"/>
      <c r="C745" s="97"/>
      <c r="D745" s="97"/>
      <c r="J745" s="97"/>
    </row>
    <row r="746" ht="15.75" customHeight="1">
      <c r="B746" s="97"/>
      <c r="C746" s="97"/>
      <c r="D746" s="97"/>
      <c r="J746" s="97"/>
    </row>
    <row r="747" ht="15.75" customHeight="1">
      <c r="B747" s="97"/>
      <c r="C747" s="97"/>
      <c r="D747" s="97"/>
      <c r="J747" s="97"/>
    </row>
    <row r="748" ht="15.75" customHeight="1">
      <c r="B748" s="97"/>
      <c r="C748" s="97"/>
      <c r="D748" s="97"/>
      <c r="J748" s="97"/>
    </row>
    <row r="749" ht="15.75" customHeight="1">
      <c r="B749" s="97"/>
      <c r="C749" s="97"/>
      <c r="D749" s="97"/>
      <c r="J749" s="97"/>
    </row>
    <row r="750" ht="15.75" customHeight="1">
      <c r="B750" s="97"/>
      <c r="C750" s="97"/>
      <c r="D750" s="97"/>
      <c r="J750" s="97"/>
    </row>
    <row r="751" ht="15.75" customHeight="1">
      <c r="B751" s="97"/>
      <c r="C751" s="97"/>
      <c r="D751" s="97"/>
      <c r="J751" s="97"/>
    </row>
    <row r="752" ht="15.75" customHeight="1">
      <c r="B752" s="97"/>
      <c r="C752" s="97"/>
      <c r="D752" s="97"/>
      <c r="J752" s="97"/>
    </row>
    <row r="753" ht="15.75" customHeight="1">
      <c r="B753" s="97"/>
      <c r="C753" s="97"/>
      <c r="D753" s="97"/>
      <c r="J753" s="97"/>
    </row>
    <row r="754" ht="15.75" customHeight="1">
      <c r="B754" s="97"/>
      <c r="C754" s="97"/>
      <c r="D754" s="97"/>
      <c r="J754" s="97"/>
    </row>
    <row r="755" ht="15.75" customHeight="1">
      <c r="B755" s="97"/>
      <c r="C755" s="97"/>
      <c r="D755" s="97"/>
      <c r="J755" s="97"/>
    </row>
    <row r="756" ht="15.75" customHeight="1">
      <c r="B756" s="97"/>
      <c r="C756" s="97"/>
      <c r="D756" s="97"/>
      <c r="J756" s="97"/>
    </row>
    <row r="757" ht="15.75" customHeight="1">
      <c r="B757" s="97"/>
      <c r="C757" s="97"/>
      <c r="D757" s="97"/>
      <c r="J757" s="97"/>
    </row>
    <row r="758" ht="15.75" customHeight="1">
      <c r="B758" s="97"/>
      <c r="C758" s="97"/>
      <c r="D758" s="97"/>
      <c r="J758" s="97"/>
    </row>
    <row r="759" ht="15.75" customHeight="1">
      <c r="B759" s="97"/>
      <c r="C759" s="97"/>
      <c r="D759" s="97"/>
      <c r="J759" s="97"/>
    </row>
    <row r="760" ht="15.75" customHeight="1">
      <c r="B760" s="97"/>
      <c r="C760" s="97"/>
      <c r="D760" s="97"/>
      <c r="J760" s="97"/>
    </row>
    <row r="761" ht="15.75" customHeight="1">
      <c r="B761" s="97"/>
      <c r="C761" s="97"/>
      <c r="D761" s="97"/>
      <c r="J761" s="97"/>
    </row>
    <row r="762" ht="15.75" customHeight="1">
      <c r="B762" s="97"/>
      <c r="C762" s="97"/>
      <c r="D762" s="97"/>
      <c r="J762" s="97"/>
    </row>
    <row r="763" ht="15.75" customHeight="1">
      <c r="B763" s="97"/>
      <c r="C763" s="97"/>
      <c r="D763" s="97"/>
      <c r="J763" s="97"/>
    </row>
    <row r="764" ht="15.75" customHeight="1">
      <c r="B764" s="97"/>
      <c r="C764" s="97"/>
      <c r="D764" s="97"/>
      <c r="J764" s="97"/>
    </row>
    <row r="765" ht="15.75" customHeight="1">
      <c r="B765" s="97"/>
      <c r="C765" s="97"/>
      <c r="D765" s="97"/>
      <c r="J765" s="97"/>
    </row>
    <row r="766" ht="15.75" customHeight="1">
      <c r="B766" s="97"/>
      <c r="C766" s="97"/>
      <c r="D766" s="97"/>
      <c r="J766" s="97"/>
    </row>
    <row r="767" ht="15.75" customHeight="1">
      <c r="B767" s="97"/>
      <c r="C767" s="97"/>
      <c r="D767" s="97"/>
      <c r="J767" s="97"/>
    </row>
    <row r="768" ht="15.75" customHeight="1">
      <c r="B768" s="97"/>
      <c r="C768" s="97"/>
      <c r="D768" s="97"/>
      <c r="J768" s="97"/>
    </row>
    <row r="769" ht="15.75" customHeight="1">
      <c r="B769" s="97"/>
      <c r="C769" s="97"/>
      <c r="D769" s="97"/>
      <c r="J769" s="97"/>
    </row>
    <row r="770" ht="15.75" customHeight="1">
      <c r="B770" s="97"/>
      <c r="C770" s="97"/>
      <c r="D770" s="97"/>
      <c r="J770" s="97"/>
    </row>
    <row r="771" ht="15.75" customHeight="1">
      <c r="B771" s="97"/>
      <c r="C771" s="97"/>
      <c r="D771" s="97"/>
      <c r="J771" s="97"/>
    </row>
    <row r="772" ht="15.75" customHeight="1">
      <c r="B772" s="97"/>
      <c r="C772" s="97"/>
      <c r="D772" s="97"/>
      <c r="J772" s="97"/>
    </row>
    <row r="773" ht="15.75" customHeight="1">
      <c r="B773" s="97"/>
      <c r="C773" s="97"/>
      <c r="D773" s="97"/>
      <c r="J773" s="97"/>
    </row>
    <row r="774" ht="15.75" customHeight="1">
      <c r="B774" s="97"/>
      <c r="C774" s="97"/>
      <c r="D774" s="97"/>
      <c r="J774" s="97"/>
    </row>
    <row r="775" ht="15.75" customHeight="1">
      <c r="B775" s="97"/>
      <c r="C775" s="97"/>
      <c r="D775" s="97"/>
      <c r="J775" s="97"/>
    </row>
    <row r="776" ht="15.75" customHeight="1">
      <c r="B776" s="97"/>
      <c r="C776" s="97"/>
      <c r="D776" s="97"/>
      <c r="J776" s="97"/>
    </row>
    <row r="777" ht="15.75" customHeight="1">
      <c r="B777" s="97"/>
      <c r="C777" s="97"/>
      <c r="D777" s="97"/>
      <c r="J777" s="97"/>
    </row>
    <row r="778" ht="15.75" customHeight="1">
      <c r="B778" s="97"/>
      <c r="C778" s="97"/>
      <c r="D778" s="97"/>
      <c r="J778" s="97"/>
    </row>
    <row r="779" ht="15.75" customHeight="1">
      <c r="B779" s="97"/>
      <c r="C779" s="97"/>
      <c r="D779" s="97"/>
      <c r="J779" s="97"/>
    </row>
    <row r="780" ht="15.75" customHeight="1">
      <c r="B780" s="97"/>
      <c r="C780" s="97"/>
      <c r="D780" s="97"/>
      <c r="J780" s="97"/>
    </row>
    <row r="781" ht="15.75" customHeight="1">
      <c r="B781" s="97"/>
      <c r="C781" s="97"/>
      <c r="D781" s="97"/>
      <c r="J781" s="97"/>
    </row>
    <row r="782" ht="15.75" customHeight="1">
      <c r="B782" s="97"/>
      <c r="C782" s="97"/>
      <c r="D782" s="97"/>
      <c r="J782" s="97"/>
    </row>
    <row r="783" ht="15.75" customHeight="1">
      <c r="B783" s="97"/>
      <c r="C783" s="97"/>
      <c r="D783" s="97"/>
      <c r="J783" s="97"/>
    </row>
    <row r="784" ht="15.75" customHeight="1">
      <c r="B784" s="97"/>
      <c r="C784" s="97"/>
      <c r="D784" s="97"/>
      <c r="J784" s="97"/>
    </row>
    <row r="785" ht="15.75" customHeight="1">
      <c r="B785" s="97"/>
      <c r="C785" s="97"/>
      <c r="D785" s="97"/>
      <c r="J785" s="97"/>
    </row>
    <row r="786" ht="15.75" customHeight="1">
      <c r="B786" s="97"/>
      <c r="C786" s="97"/>
      <c r="D786" s="97"/>
      <c r="J786" s="97"/>
    </row>
    <row r="787" ht="15.75" customHeight="1">
      <c r="B787" s="97"/>
      <c r="C787" s="97"/>
      <c r="D787" s="97"/>
      <c r="J787" s="97"/>
    </row>
    <row r="788" ht="15.75" customHeight="1">
      <c r="B788" s="97"/>
      <c r="C788" s="97"/>
      <c r="D788" s="97"/>
      <c r="J788" s="97"/>
    </row>
    <row r="789" ht="15.75" customHeight="1">
      <c r="B789" s="97"/>
      <c r="C789" s="97"/>
      <c r="D789" s="97"/>
      <c r="J789" s="97"/>
    </row>
    <row r="790" ht="15.75" customHeight="1">
      <c r="B790" s="97"/>
      <c r="C790" s="97"/>
      <c r="D790" s="97"/>
      <c r="J790" s="97"/>
    </row>
    <row r="791" ht="15.75" customHeight="1">
      <c r="B791" s="97"/>
      <c r="C791" s="97"/>
      <c r="D791" s="97"/>
      <c r="J791" s="97"/>
    </row>
    <row r="792" ht="15.75" customHeight="1">
      <c r="B792" s="97"/>
      <c r="C792" s="97"/>
      <c r="D792" s="97"/>
      <c r="J792" s="97"/>
    </row>
    <row r="793" ht="15.75" customHeight="1">
      <c r="B793" s="97"/>
      <c r="C793" s="97"/>
      <c r="D793" s="97"/>
      <c r="J793" s="97"/>
    </row>
    <row r="794" ht="15.75" customHeight="1">
      <c r="B794" s="97"/>
      <c r="C794" s="97"/>
      <c r="D794" s="97"/>
      <c r="J794" s="97"/>
    </row>
    <row r="795" ht="15.75" customHeight="1">
      <c r="B795" s="97"/>
      <c r="C795" s="97"/>
      <c r="D795" s="97"/>
      <c r="J795" s="97"/>
    </row>
    <row r="796" ht="15.75" customHeight="1">
      <c r="B796" s="97"/>
      <c r="C796" s="97"/>
      <c r="D796" s="97"/>
      <c r="J796" s="97"/>
    </row>
    <row r="797" ht="15.75" customHeight="1">
      <c r="B797" s="97"/>
      <c r="C797" s="97"/>
      <c r="D797" s="97"/>
      <c r="J797" s="97"/>
    </row>
    <row r="798" ht="15.75" customHeight="1">
      <c r="B798" s="97"/>
      <c r="C798" s="97"/>
      <c r="D798" s="97"/>
      <c r="J798" s="97"/>
    </row>
    <row r="799" ht="15.75" customHeight="1">
      <c r="B799" s="97"/>
      <c r="C799" s="97"/>
      <c r="D799" s="97"/>
      <c r="J799" s="97"/>
    </row>
    <row r="800" ht="15.75" customHeight="1">
      <c r="B800" s="97"/>
      <c r="C800" s="97"/>
      <c r="D800" s="97"/>
      <c r="J800" s="97"/>
    </row>
    <row r="801" ht="15.75" customHeight="1">
      <c r="B801" s="97"/>
      <c r="C801" s="97"/>
      <c r="D801" s="97"/>
      <c r="J801" s="97"/>
    </row>
    <row r="802" ht="15.75" customHeight="1">
      <c r="B802" s="97"/>
      <c r="C802" s="97"/>
      <c r="D802" s="97"/>
      <c r="J802" s="97"/>
    </row>
    <row r="803" ht="15.75" customHeight="1">
      <c r="B803" s="97"/>
      <c r="C803" s="97"/>
      <c r="D803" s="97"/>
      <c r="J803" s="97"/>
    </row>
    <row r="804" ht="15.75" customHeight="1">
      <c r="B804" s="97"/>
      <c r="C804" s="97"/>
      <c r="D804" s="97"/>
      <c r="J804" s="97"/>
    </row>
    <row r="805" ht="15.75" customHeight="1">
      <c r="B805" s="97"/>
      <c r="C805" s="97"/>
      <c r="D805" s="97"/>
      <c r="J805" s="97"/>
    </row>
    <row r="806" ht="15.75" customHeight="1">
      <c r="B806" s="97"/>
      <c r="C806" s="97"/>
      <c r="D806" s="97"/>
      <c r="J806" s="97"/>
    </row>
    <row r="807" ht="15.75" customHeight="1">
      <c r="B807" s="97"/>
      <c r="C807" s="97"/>
      <c r="D807" s="97"/>
      <c r="J807" s="97"/>
    </row>
    <row r="808" ht="15.75" customHeight="1">
      <c r="B808" s="97"/>
      <c r="C808" s="97"/>
      <c r="D808" s="97"/>
      <c r="J808" s="97"/>
    </row>
    <row r="809" ht="15.75" customHeight="1">
      <c r="B809" s="97"/>
      <c r="C809" s="97"/>
      <c r="D809" s="97"/>
      <c r="J809" s="97"/>
    </row>
    <row r="810" ht="15.75" customHeight="1">
      <c r="B810" s="97"/>
      <c r="C810" s="97"/>
      <c r="D810" s="97"/>
      <c r="J810" s="97"/>
    </row>
    <row r="811" ht="15.75" customHeight="1">
      <c r="B811" s="97"/>
      <c r="C811" s="97"/>
      <c r="D811" s="97"/>
      <c r="J811" s="97"/>
    </row>
    <row r="812" ht="15.75" customHeight="1">
      <c r="B812" s="97"/>
      <c r="C812" s="97"/>
      <c r="D812" s="97"/>
      <c r="J812" s="97"/>
    </row>
    <row r="813" ht="15.75" customHeight="1">
      <c r="B813" s="97"/>
      <c r="C813" s="97"/>
      <c r="D813" s="97"/>
      <c r="J813" s="97"/>
    </row>
    <row r="814" ht="15.75" customHeight="1">
      <c r="B814" s="97"/>
      <c r="C814" s="97"/>
      <c r="D814" s="97"/>
      <c r="J814" s="97"/>
    </row>
    <row r="815" ht="15.75" customHeight="1">
      <c r="B815" s="97"/>
      <c r="C815" s="97"/>
      <c r="D815" s="97"/>
      <c r="J815" s="97"/>
    </row>
    <row r="816" ht="15.75" customHeight="1">
      <c r="B816" s="97"/>
      <c r="C816" s="97"/>
      <c r="D816" s="97"/>
      <c r="J816" s="97"/>
    </row>
    <row r="817" ht="15.75" customHeight="1">
      <c r="B817" s="97"/>
      <c r="C817" s="97"/>
      <c r="D817" s="97"/>
      <c r="J817" s="97"/>
    </row>
    <row r="818" ht="15.75" customHeight="1">
      <c r="B818" s="97"/>
      <c r="C818" s="97"/>
      <c r="D818" s="97"/>
      <c r="J818" s="97"/>
    </row>
    <row r="819" ht="15.75" customHeight="1">
      <c r="B819" s="97"/>
      <c r="C819" s="97"/>
      <c r="D819" s="97"/>
      <c r="J819" s="97"/>
    </row>
    <row r="820" ht="15.75" customHeight="1">
      <c r="B820" s="97"/>
      <c r="C820" s="97"/>
      <c r="D820" s="97"/>
      <c r="J820" s="97"/>
    </row>
    <row r="821" ht="15.75" customHeight="1">
      <c r="B821" s="97"/>
      <c r="C821" s="97"/>
      <c r="D821" s="97"/>
      <c r="J821" s="97"/>
    </row>
    <row r="822" ht="15.75" customHeight="1">
      <c r="B822" s="97"/>
      <c r="C822" s="97"/>
      <c r="D822" s="97"/>
      <c r="J822" s="97"/>
    </row>
    <row r="823" ht="15.75" customHeight="1">
      <c r="B823" s="97"/>
      <c r="C823" s="97"/>
      <c r="D823" s="97"/>
      <c r="J823" s="97"/>
    </row>
    <row r="824" ht="15.75" customHeight="1">
      <c r="B824" s="97"/>
      <c r="C824" s="97"/>
      <c r="D824" s="97"/>
      <c r="J824" s="97"/>
    </row>
    <row r="825" ht="15.75" customHeight="1">
      <c r="B825" s="97"/>
      <c r="C825" s="97"/>
      <c r="D825" s="97"/>
      <c r="J825" s="97"/>
    </row>
    <row r="826" ht="15.75" customHeight="1">
      <c r="B826" s="97"/>
      <c r="C826" s="97"/>
      <c r="D826" s="97"/>
      <c r="J826" s="97"/>
    </row>
    <row r="827" ht="15.75" customHeight="1">
      <c r="B827" s="97"/>
      <c r="C827" s="97"/>
      <c r="D827" s="97"/>
      <c r="J827" s="97"/>
    </row>
    <row r="828" ht="15.75" customHeight="1">
      <c r="B828" s="97"/>
      <c r="C828" s="97"/>
      <c r="D828" s="97"/>
      <c r="J828" s="97"/>
    </row>
    <row r="829" ht="15.75" customHeight="1">
      <c r="B829" s="97"/>
      <c r="C829" s="97"/>
      <c r="D829" s="97"/>
      <c r="J829" s="97"/>
    </row>
    <row r="830" ht="15.75" customHeight="1">
      <c r="B830" s="97"/>
      <c r="C830" s="97"/>
      <c r="D830" s="97"/>
      <c r="J830" s="97"/>
    </row>
    <row r="831" ht="15.75" customHeight="1">
      <c r="B831" s="97"/>
      <c r="C831" s="97"/>
      <c r="D831" s="97"/>
      <c r="J831" s="97"/>
    </row>
    <row r="832" ht="15.75" customHeight="1">
      <c r="B832" s="97"/>
      <c r="C832" s="97"/>
      <c r="D832" s="97"/>
      <c r="J832" s="97"/>
    </row>
    <row r="833" ht="15.75" customHeight="1">
      <c r="B833" s="97"/>
      <c r="C833" s="97"/>
      <c r="D833" s="97"/>
      <c r="J833" s="97"/>
    </row>
    <row r="834" ht="15.75" customHeight="1">
      <c r="B834" s="97"/>
      <c r="C834" s="97"/>
      <c r="D834" s="97"/>
      <c r="J834" s="97"/>
    </row>
    <row r="835" ht="15.75" customHeight="1">
      <c r="B835" s="97"/>
      <c r="C835" s="97"/>
      <c r="D835" s="97"/>
      <c r="J835" s="97"/>
    </row>
    <row r="836" ht="15.75" customHeight="1">
      <c r="B836" s="97"/>
      <c r="C836" s="97"/>
      <c r="D836" s="97"/>
      <c r="J836" s="97"/>
    </row>
    <row r="837" ht="15.75" customHeight="1">
      <c r="B837" s="97"/>
      <c r="C837" s="97"/>
      <c r="D837" s="97"/>
      <c r="J837" s="97"/>
    </row>
    <row r="838" ht="15.75" customHeight="1">
      <c r="B838" s="97"/>
      <c r="C838" s="97"/>
      <c r="D838" s="97"/>
      <c r="J838" s="97"/>
    </row>
    <row r="839" ht="15.75" customHeight="1">
      <c r="B839" s="97"/>
      <c r="C839" s="97"/>
      <c r="D839" s="97"/>
      <c r="J839" s="97"/>
    </row>
    <row r="840" ht="15.75" customHeight="1">
      <c r="B840" s="97"/>
      <c r="C840" s="97"/>
      <c r="D840" s="97"/>
      <c r="J840" s="97"/>
    </row>
    <row r="841" ht="15.75" customHeight="1">
      <c r="B841" s="97"/>
      <c r="C841" s="97"/>
      <c r="D841" s="97"/>
      <c r="J841" s="97"/>
    </row>
    <row r="842" ht="15.75" customHeight="1">
      <c r="B842" s="97"/>
      <c r="C842" s="97"/>
      <c r="D842" s="97"/>
      <c r="J842" s="97"/>
    </row>
    <row r="843" ht="15.75" customHeight="1">
      <c r="B843" s="97"/>
      <c r="C843" s="97"/>
      <c r="D843" s="97"/>
      <c r="J843" s="97"/>
    </row>
    <row r="844" ht="15.75" customHeight="1">
      <c r="B844" s="97"/>
      <c r="C844" s="97"/>
      <c r="D844" s="97"/>
      <c r="J844" s="97"/>
    </row>
    <row r="845" ht="15.75" customHeight="1">
      <c r="B845" s="97"/>
      <c r="C845" s="97"/>
      <c r="D845" s="97"/>
      <c r="J845" s="97"/>
    </row>
    <row r="846" ht="15.75" customHeight="1">
      <c r="B846" s="97"/>
      <c r="C846" s="97"/>
      <c r="D846" s="97"/>
      <c r="J846" s="97"/>
    </row>
    <row r="847" ht="15.75" customHeight="1">
      <c r="B847" s="97"/>
      <c r="C847" s="97"/>
      <c r="D847" s="97"/>
      <c r="J847" s="97"/>
    </row>
    <row r="848" ht="15.75" customHeight="1">
      <c r="B848" s="97"/>
      <c r="C848" s="97"/>
      <c r="D848" s="97"/>
      <c r="J848" s="97"/>
    </row>
    <row r="849" ht="15.75" customHeight="1">
      <c r="B849" s="97"/>
      <c r="C849" s="97"/>
      <c r="D849" s="97"/>
      <c r="J849" s="97"/>
    </row>
    <row r="850" ht="15.75" customHeight="1">
      <c r="B850" s="97"/>
      <c r="C850" s="97"/>
      <c r="D850" s="97"/>
      <c r="J850" s="97"/>
    </row>
    <row r="851" ht="15.75" customHeight="1">
      <c r="B851" s="97"/>
      <c r="C851" s="97"/>
      <c r="D851" s="97"/>
      <c r="J851" s="97"/>
    </row>
    <row r="852" ht="15.75" customHeight="1">
      <c r="B852" s="97"/>
      <c r="C852" s="97"/>
      <c r="D852" s="97"/>
      <c r="J852" s="97"/>
    </row>
    <row r="853" ht="15.75" customHeight="1">
      <c r="B853" s="97"/>
      <c r="C853" s="97"/>
      <c r="D853" s="97"/>
      <c r="J853" s="97"/>
    </row>
    <row r="854" ht="15.75" customHeight="1">
      <c r="B854" s="97"/>
      <c r="C854" s="97"/>
      <c r="D854" s="97"/>
      <c r="J854" s="97"/>
    </row>
    <row r="855" ht="15.75" customHeight="1">
      <c r="B855" s="97"/>
      <c r="C855" s="97"/>
      <c r="D855" s="97"/>
      <c r="J855" s="97"/>
    </row>
    <row r="856" ht="15.75" customHeight="1">
      <c r="B856" s="97"/>
      <c r="C856" s="97"/>
      <c r="D856" s="97"/>
      <c r="J856" s="97"/>
    </row>
    <row r="857" ht="15.75" customHeight="1">
      <c r="B857" s="97"/>
      <c r="C857" s="97"/>
      <c r="D857" s="97"/>
      <c r="J857" s="97"/>
    </row>
    <row r="858" ht="15.75" customHeight="1">
      <c r="B858" s="97"/>
      <c r="C858" s="97"/>
      <c r="D858" s="97"/>
      <c r="J858" s="97"/>
    </row>
    <row r="859" ht="15.75" customHeight="1">
      <c r="B859" s="97"/>
      <c r="C859" s="97"/>
      <c r="D859" s="97"/>
      <c r="J859" s="97"/>
    </row>
    <row r="860" ht="15.75" customHeight="1">
      <c r="B860" s="97"/>
      <c r="C860" s="97"/>
      <c r="D860" s="97"/>
      <c r="J860" s="97"/>
    </row>
    <row r="861" ht="15.75" customHeight="1">
      <c r="B861" s="97"/>
      <c r="C861" s="97"/>
      <c r="D861" s="97"/>
      <c r="J861" s="97"/>
    </row>
    <row r="862" ht="15.75" customHeight="1">
      <c r="B862" s="97"/>
      <c r="C862" s="97"/>
      <c r="D862" s="97"/>
      <c r="J862" s="97"/>
    </row>
    <row r="863" ht="15.75" customHeight="1">
      <c r="B863" s="97"/>
      <c r="C863" s="97"/>
      <c r="D863" s="97"/>
      <c r="J863" s="97"/>
    </row>
    <row r="864" ht="15.75" customHeight="1">
      <c r="B864" s="97"/>
      <c r="C864" s="97"/>
      <c r="D864" s="97"/>
      <c r="J864" s="97"/>
    </row>
    <row r="865" ht="15.75" customHeight="1">
      <c r="B865" s="97"/>
      <c r="C865" s="97"/>
      <c r="D865" s="97"/>
      <c r="J865" s="97"/>
    </row>
    <row r="866" ht="15.75" customHeight="1">
      <c r="B866" s="97"/>
      <c r="C866" s="97"/>
      <c r="D866" s="97"/>
      <c r="J866" s="97"/>
    </row>
    <row r="867" ht="15.75" customHeight="1">
      <c r="B867" s="97"/>
      <c r="C867" s="97"/>
      <c r="D867" s="97"/>
      <c r="J867" s="97"/>
    </row>
    <row r="868" ht="15.75" customHeight="1">
      <c r="B868" s="97"/>
      <c r="C868" s="97"/>
      <c r="D868" s="97"/>
      <c r="J868" s="97"/>
    </row>
    <row r="869" ht="15.75" customHeight="1">
      <c r="B869" s="97"/>
      <c r="C869" s="97"/>
      <c r="D869" s="97"/>
      <c r="J869" s="97"/>
    </row>
    <row r="870" ht="15.75" customHeight="1">
      <c r="B870" s="97"/>
      <c r="C870" s="97"/>
      <c r="D870" s="97"/>
      <c r="J870" s="97"/>
    </row>
    <row r="871" ht="15.75" customHeight="1">
      <c r="B871" s="97"/>
      <c r="C871" s="97"/>
      <c r="D871" s="97"/>
      <c r="J871" s="97"/>
    </row>
    <row r="872" ht="15.75" customHeight="1">
      <c r="B872" s="97"/>
      <c r="C872" s="97"/>
      <c r="D872" s="97"/>
      <c r="J872" s="97"/>
    </row>
    <row r="873" ht="15.75" customHeight="1">
      <c r="B873" s="97"/>
      <c r="C873" s="97"/>
      <c r="D873" s="97"/>
      <c r="J873" s="97"/>
    </row>
    <row r="874" ht="15.75" customHeight="1">
      <c r="B874" s="97"/>
      <c r="C874" s="97"/>
      <c r="D874" s="97"/>
      <c r="J874" s="97"/>
    </row>
    <row r="875" ht="15.75" customHeight="1">
      <c r="B875" s="97"/>
      <c r="C875" s="97"/>
      <c r="D875" s="97"/>
      <c r="J875" s="97"/>
    </row>
    <row r="876" ht="15.75" customHeight="1">
      <c r="B876" s="97"/>
      <c r="C876" s="97"/>
      <c r="D876" s="97"/>
      <c r="J876" s="97"/>
    </row>
    <row r="877" ht="15.75" customHeight="1">
      <c r="B877" s="97"/>
      <c r="C877" s="97"/>
      <c r="D877" s="97"/>
      <c r="J877" s="97"/>
    </row>
    <row r="878" ht="15.75" customHeight="1">
      <c r="B878" s="97"/>
      <c r="C878" s="97"/>
      <c r="D878" s="97"/>
      <c r="J878" s="97"/>
    </row>
    <row r="879" ht="15.75" customHeight="1">
      <c r="B879" s="97"/>
      <c r="C879" s="97"/>
      <c r="D879" s="97"/>
      <c r="J879" s="97"/>
    </row>
    <row r="880" ht="15.75" customHeight="1">
      <c r="B880" s="97"/>
      <c r="C880" s="97"/>
      <c r="D880" s="97"/>
      <c r="J880" s="97"/>
    </row>
    <row r="881" ht="15.75" customHeight="1">
      <c r="B881" s="97"/>
      <c r="C881" s="97"/>
      <c r="D881" s="97"/>
      <c r="J881" s="97"/>
    </row>
    <row r="882" ht="15.75" customHeight="1">
      <c r="B882" s="97"/>
      <c r="C882" s="97"/>
      <c r="D882" s="97"/>
      <c r="J882" s="97"/>
    </row>
    <row r="883" ht="15.75" customHeight="1">
      <c r="B883" s="97"/>
      <c r="C883" s="97"/>
      <c r="D883" s="97"/>
      <c r="J883" s="97"/>
    </row>
    <row r="884" ht="15.75" customHeight="1">
      <c r="B884" s="97"/>
      <c r="C884" s="97"/>
      <c r="D884" s="97"/>
      <c r="J884" s="97"/>
    </row>
    <row r="885" ht="15.75" customHeight="1">
      <c r="B885" s="97"/>
      <c r="C885" s="97"/>
      <c r="D885" s="97"/>
      <c r="J885" s="97"/>
    </row>
    <row r="886" ht="15.75" customHeight="1">
      <c r="B886" s="97"/>
      <c r="C886" s="97"/>
      <c r="D886" s="97"/>
      <c r="J886" s="97"/>
    </row>
    <row r="887" ht="15.75" customHeight="1">
      <c r="B887" s="97"/>
      <c r="C887" s="97"/>
      <c r="D887" s="97"/>
      <c r="J887" s="97"/>
    </row>
    <row r="888" ht="15.75" customHeight="1">
      <c r="B888" s="97"/>
      <c r="C888" s="97"/>
      <c r="D888" s="97"/>
      <c r="J888" s="97"/>
    </row>
    <row r="889" ht="15.75" customHeight="1">
      <c r="B889" s="97"/>
      <c r="C889" s="97"/>
      <c r="D889" s="97"/>
      <c r="J889" s="97"/>
    </row>
    <row r="890" ht="15.75" customHeight="1">
      <c r="B890" s="97"/>
      <c r="C890" s="97"/>
      <c r="D890" s="97"/>
      <c r="J890" s="97"/>
    </row>
    <row r="891" ht="15.75" customHeight="1">
      <c r="B891" s="97"/>
      <c r="C891" s="97"/>
      <c r="D891" s="97"/>
      <c r="J891" s="97"/>
    </row>
    <row r="892" ht="15.75" customHeight="1">
      <c r="B892" s="97"/>
      <c r="C892" s="97"/>
      <c r="D892" s="97"/>
      <c r="J892" s="97"/>
    </row>
    <row r="893" ht="15.75" customHeight="1">
      <c r="B893" s="97"/>
      <c r="C893" s="97"/>
      <c r="D893" s="97"/>
      <c r="J893" s="97"/>
    </row>
    <row r="894" ht="15.75" customHeight="1">
      <c r="B894" s="97"/>
      <c r="C894" s="97"/>
      <c r="D894" s="97"/>
      <c r="J894" s="97"/>
    </row>
    <row r="895" ht="15.75" customHeight="1">
      <c r="B895" s="97"/>
      <c r="C895" s="97"/>
      <c r="D895" s="97"/>
      <c r="J895" s="97"/>
    </row>
    <row r="896" ht="15.75" customHeight="1">
      <c r="B896" s="97"/>
      <c r="C896" s="97"/>
      <c r="D896" s="97"/>
      <c r="J896" s="97"/>
    </row>
    <row r="897" ht="15.75" customHeight="1">
      <c r="B897" s="97"/>
      <c r="C897" s="97"/>
      <c r="D897" s="97"/>
      <c r="J897" s="97"/>
    </row>
    <row r="898" ht="15.75" customHeight="1">
      <c r="B898" s="97"/>
      <c r="C898" s="97"/>
      <c r="D898" s="97"/>
      <c r="J898" s="97"/>
    </row>
    <row r="899" ht="15.75" customHeight="1">
      <c r="B899" s="97"/>
      <c r="C899" s="97"/>
      <c r="D899" s="97"/>
      <c r="J899" s="97"/>
    </row>
    <row r="900" ht="15.75" customHeight="1">
      <c r="B900" s="97"/>
      <c r="C900" s="97"/>
      <c r="D900" s="97"/>
      <c r="J900" s="97"/>
    </row>
    <row r="901" ht="15.75" customHeight="1">
      <c r="B901" s="97"/>
      <c r="C901" s="97"/>
      <c r="D901" s="97"/>
      <c r="J901" s="97"/>
    </row>
    <row r="902" ht="15.75" customHeight="1">
      <c r="B902" s="97"/>
      <c r="C902" s="97"/>
      <c r="D902" s="97"/>
      <c r="J902" s="97"/>
    </row>
    <row r="903" ht="15.75" customHeight="1">
      <c r="B903" s="97"/>
      <c r="C903" s="97"/>
      <c r="D903" s="97"/>
      <c r="J903" s="97"/>
    </row>
    <row r="904" ht="15.75" customHeight="1">
      <c r="B904" s="97"/>
      <c r="C904" s="97"/>
      <c r="D904" s="97"/>
      <c r="J904" s="97"/>
    </row>
    <row r="905" ht="15.75" customHeight="1">
      <c r="B905" s="97"/>
      <c r="C905" s="97"/>
      <c r="D905" s="97"/>
      <c r="J905" s="97"/>
    </row>
    <row r="906" ht="15.75" customHeight="1">
      <c r="B906" s="97"/>
      <c r="C906" s="97"/>
      <c r="D906" s="97"/>
      <c r="J906" s="97"/>
    </row>
    <row r="907" ht="15.75" customHeight="1">
      <c r="B907" s="97"/>
      <c r="C907" s="97"/>
      <c r="D907" s="97"/>
      <c r="J907" s="97"/>
    </row>
    <row r="908" ht="15.75" customHeight="1">
      <c r="B908" s="97"/>
      <c r="C908" s="97"/>
      <c r="D908" s="97"/>
      <c r="J908" s="97"/>
    </row>
    <row r="909" ht="15.75" customHeight="1">
      <c r="B909" s="97"/>
      <c r="C909" s="97"/>
      <c r="D909" s="97"/>
      <c r="J909" s="97"/>
    </row>
    <row r="910" ht="15.75" customHeight="1">
      <c r="B910" s="97"/>
      <c r="C910" s="97"/>
      <c r="D910" s="97"/>
      <c r="J910" s="97"/>
    </row>
    <row r="911" ht="15.75" customHeight="1">
      <c r="B911" s="97"/>
      <c r="C911" s="97"/>
      <c r="D911" s="97"/>
      <c r="J911" s="97"/>
    </row>
    <row r="912" ht="15.75" customHeight="1">
      <c r="B912" s="97"/>
      <c r="C912" s="97"/>
      <c r="D912" s="97"/>
      <c r="J912" s="97"/>
    </row>
    <row r="913" ht="15.75" customHeight="1">
      <c r="B913" s="97"/>
      <c r="C913" s="97"/>
      <c r="D913" s="97"/>
      <c r="J913" s="97"/>
    </row>
    <row r="914" ht="15.75" customHeight="1">
      <c r="B914" s="97"/>
      <c r="C914" s="97"/>
      <c r="D914" s="97"/>
      <c r="J914" s="97"/>
    </row>
    <row r="915" ht="15.75" customHeight="1">
      <c r="B915" s="97"/>
      <c r="C915" s="97"/>
      <c r="D915" s="97"/>
      <c r="J915" s="97"/>
    </row>
    <row r="916" ht="15.75" customHeight="1">
      <c r="B916" s="97"/>
      <c r="C916" s="97"/>
      <c r="D916" s="97"/>
      <c r="J916" s="97"/>
    </row>
    <row r="917" ht="15.75" customHeight="1">
      <c r="B917" s="97"/>
      <c r="C917" s="97"/>
      <c r="D917" s="97"/>
      <c r="J917" s="97"/>
    </row>
    <row r="918" ht="15.75" customHeight="1">
      <c r="B918" s="97"/>
      <c r="C918" s="97"/>
      <c r="D918" s="97"/>
      <c r="J918" s="97"/>
    </row>
    <row r="919" ht="15.75" customHeight="1">
      <c r="B919" s="97"/>
      <c r="C919" s="97"/>
      <c r="D919" s="97"/>
      <c r="J919" s="97"/>
    </row>
    <row r="920" ht="15.75" customHeight="1">
      <c r="B920" s="97"/>
      <c r="C920" s="97"/>
      <c r="D920" s="97"/>
      <c r="J920" s="97"/>
    </row>
    <row r="921" ht="15.75" customHeight="1">
      <c r="B921" s="97"/>
      <c r="C921" s="97"/>
      <c r="D921" s="97"/>
      <c r="J921" s="97"/>
    </row>
    <row r="922" ht="15.75" customHeight="1">
      <c r="B922" s="97"/>
      <c r="C922" s="97"/>
      <c r="D922" s="97"/>
      <c r="J922" s="97"/>
    </row>
    <row r="923" ht="15.75" customHeight="1">
      <c r="B923" s="97"/>
      <c r="C923" s="97"/>
      <c r="D923" s="97"/>
      <c r="J923" s="97"/>
    </row>
    <row r="924" ht="15.75" customHeight="1">
      <c r="B924" s="97"/>
      <c r="C924" s="97"/>
      <c r="D924" s="97"/>
      <c r="J924" s="97"/>
    </row>
    <row r="925" ht="15.75" customHeight="1">
      <c r="B925" s="97"/>
      <c r="C925" s="97"/>
      <c r="D925" s="97"/>
      <c r="J925" s="97"/>
    </row>
    <row r="926" ht="15.75" customHeight="1">
      <c r="B926" s="97"/>
      <c r="C926" s="97"/>
      <c r="D926" s="97"/>
      <c r="J926" s="97"/>
    </row>
    <row r="927" ht="15.75" customHeight="1">
      <c r="B927" s="97"/>
      <c r="C927" s="97"/>
      <c r="D927" s="97"/>
      <c r="J927" s="97"/>
    </row>
    <row r="928" ht="15.75" customHeight="1">
      <c r="B928" s="97"/>
      <c r="C928" s="97"/>
      <c r="D928" s="97"/>
      <c r="J928" s="97"/>
    </row>
    <row r="929" ht="15.75" customHeight="1">
      <c r="B929" s="97"/>
      <c r="C929" s="97"/>
      <c r="D929" s="97"/>
      <c r="J929" s="97"/>
    </row>
    <row r="930" ht="15.75" customHeight="1">
      <c r="B930" s="97"/>
      <c r="C930" s="97"/>
      <c r="D930" s="97"/>
      <c r="J930" s="97"/>
    </row>
    <row r="931" ht="15.75" customHeight="1">
      <c r="B931" s="97"/>
      <c r="C931" s="97"/>
      <c r="D931" s="97"/>
      <c r="J931" s="97"/>
    </row>
    <row r="932" ht="15.75" customHeight="1">
      <c r="B932" s="97"/>
      <c r="C932" s="97"/>
      <c r="D932" s="97"/>
      <c r="J932" s="97"/>
    </row>
    <row r="933" ht="15.75" customHeight="1">
      <c r="B933" s="97"/>
      <c r="C933" s="97"/>
      <c r="D933" s="97"/>
      <c r="J933" s="97"/>
    </row>
    <row r="934" ht="15.75" customHeight="1">
      <c r="B934" s="97"/>
      <c r="C934" s="97"/>
      <c r="D934" s="97"/>
      <c r="J934" s="97"/>
    </row>
    <row r="935" ht="15.75" customHeight="1">
      <c r="B935" s="97"/>
      <c r="C935" s="97"/>
      <c r="D935" s="97"/>
      <c r="J935" s="97"/>
    </row>
    <row r="936" ht="15.75" customHeight="1">
      <c r="B936" s="97"/>
      <c r="C936" s="97"/>
      <c r="D936" s="97"/>
      <c r="J936" s="97"/>
    </row>
    <row r="937" ht="15.75" customHeight="1">
      <c r="B937" s="97"/>
      <c r="C937" s="97"/>
      <c r="D937" s="97"/>
      <c r="J937" s="97"/>
    </row>
    <row r="938" ht="15.75" customHeight="1">
      <c r="B938" s="97"/>
      <c r="C938" s="97"/>
      <c r="D938" s="97"/>
      <c r="J938" s="97"/>
    </row>
    <row r="939" ht="15.75" customHeight="1">
      <c r="B939" s="97"/>
      <c r="C939" s="97"/>
      <c r="D939" s="97"/>
      <c r="J939" s="97"/>
    </row>
    <row r="940" ht="15.75" customHeight="1">
      <c r="B940" s="97"/>
      <c r="C940" s="97"/>
      <c r="D940" s="97"/>
      <c r="J940" s="97"/>
    </row>
    <row r="941" ht="15.75" customHeight="1">
      <c r="B941" s="97"/>
      <c r="C941" s="97"/>
      <c r="D941" s="97"/>
      <c r="J941" s="97"/>
    </row>
    <row r="942" ht="15.75" customHeight="1">
      <c r="B942" s="97"/>
      <c r="C942" s="97"/>
      <c r="D942" s="97"/>
      <c r="J942" s="97"/>
    </row>
    <row r="943" ht="15.75" customHeight="1">
      <c r="B943" s="97"/>
      <c r="C943" s="97"/>
      <c r="D943" s="97"/>
      <c r="J943" s="97"/>
    </row>
    <row r="944" ht="15.75" customHeight="1">
      <c r="B944" s="97"/>
      <c r="C944" s="97"/>
      <c r="D944" s="97"/>
      <c r="J944" s="97"/>
    </row>
    <row r="945" ht="15.75" customHeight="1">
      <c r="B945" s="97"/>
      <c r="C945" s="97"/>
      <c r="D945" s="97"/>
      <c r="J945" s="97"/>
    </row>
    <row r="946" ht="15.75" customHeight="1">
      <c r="B946" s="97"/>
      <c r="C946" s="97"/>
      <c r="D946" s="97"/>
      <c r="J946" s="97"/>
    </row>
    <row r="947" ht="15.75" customHeight="1">
      <c r="B947" s="97"/>
      <c r="C947" s="97"/>
      <c r="D947" s="97"/>
      <c r="J947" s="97"/>
    </row>
    <row r="948" ht="15.75" customHeight="1">
      <c r="B948" s="97"/>
      <c r="C948" s="97"/>
      <c r="D948" s="97"/>
      <c r="J948" s="97"/>
    </row>
    <row r="949" ht="15.75" customHeight="1">
      <c r="B949" s="97"/>
      <c r="C949" s="97"/>
      <c r="D949" s="97"/>
      <c r="J949" s="97"/>
    </row>
    <row r="950" ht="15.75" customHeight="1">
      <c r="B950" s="97"/>
      <c r="C950" s="97"/>
      <c r="D950" s="97"/>
      <c r="J950" s="97"/>
    </row>
    <row r="951" ht="15.75" customHeight="1">
      <c r="B951" s="97"/>
      <c r="C951" s="97"/>
      <c r="D951" s="97"/>
      <c r="J951" s="97"/>
    </row>
    <row r="952" ht="15.75" customHeight="1">
      <c r="B952" s="97"/>
      <c r="C952" s="97"/>
      <c r="D952" s="97"/>
      <c r="J952" s="97"/>
    </row>
    <row r="953" ht="15.75" customHeight="1">
      <c r="B953" s="97"/>
      <c r="C953" s="97"/>
      <c r="D953" s="97"/>
      <c r="J953" s="97"/>
    </row>
    <row r="954" ht="15.75" customHeight="1">
      <c r="B954" s="97"/>
      <c r="C954" s="97"/>
      <c r="D954" s="97"/>
      <c r="J954" s="97"/>
    </row>
    <row r="955" ht="15.75" customHeight="1">
      <c r="B955" s="97"/>
      <c r="C955" s="97"/>
      <c r="D955" s="97"/>
      <c r="J955" s="97"/>
    </row>
    <row r="956" ht="15.75" customHeight="1">
      <c r="B956" s="97"/>
      <c r="C956" s="97"/>
      <c r="D956" s="97"/>
      <c r="J956" s="97"/>
    </row>
    <row r="957" ht="15.75" customHeight="1">
      <c r="B957" s="97"/>
      <c r="C957" s="97"/>
      <c r="D957" s="97"/>
      <c r="J957" s="97"/>
    </row>
    <row r="958" ht="15.75" customHeight="1">
      <c r="B958" s="97"/>
      <c r="C958" s="97"/>
      <c r="D958" s="97"/>
      <c r="J958" s="97"/>
    </row>
    <row r="959" ht="15.75" customHeight="1">
      <c r="B959" s="97"/>
      <c r="C959" s="97"/>
      <c r="D959" s="97"/>
      <c r="J959" s="97"/>
    </row>
    <row r="960" ht="15.75" customHeight="1">
      <c r="B960" s="97"/>
      <c r="C960" s="97"/>
      <c r="D960" s="97"/>
      <c r="J960" s="97"/>
    </row>
    <row r="961" ht="15.75" customHeight="1">
      <c r="B961" s="97"/>
      <c r="C961" s="97"/>
      <c r="D961" s="97"/>
      <c r="J961" s="97"/>
    </row>
    <row r="962" ht="15.75" customHeight="1">
      <c r="B962" s="97"/>
      <c r="C962" s="97"/>
      <c r="D962" s="97"/>
      <c r="J962" s="97"/>
    </row>
    <row r="963" ht="15.75" customHeight="1">
      <c r="B963" s="97"/>
      <c r="C963" s="97"/>
      <c r="D963" s="97"/>
      <c r="J963" s="97"/>
    </row>
    <row r="964" ht="15.75" customHeight="1">
      <c r="B964" s="97"/>
      <c r="C964" s="97"/>
      <c r="D964" s="97"/>
      <c r="J964" s="97"/>
    </row>
    <row r="965" ht="15.75" customHeight="1">
      <c r="B965" s="97"/>
      <c r="C965" s="97"/>
      <c r="D965" s="97"/>
      <c r="J965" s="97"/>
    </row>
    <row r="966" ht="15.75" customHeight="1">
      <c r="B966" s="97"/>
      <c r="C966" s="97"/>
      <c r="D966" s="97"/>
      <c r="J966" s="97"/>
    </row>
    <row r="967" ht="15.75" customHeight="1">
      <c r="B967" s="97"/>
      <c r="C967" s="97"/>
      <c r="D967" s="97"/>
      <c r="J967" s="97"/>
    </row>
    <row r="968" ht="15.75" customHeight="1">
      <c r="B968" s="97"/>
      <c r="C968" s="97"/>
      <c r="D968" s="97"/>
      <c r="J968" s="97"/>
    </row>
    <row r="969" ht="15.75" customHeight="1">
      <c r="B969" s="97"/>
      <c r="C969" s="97"/>
      <c r="D969" s="97"/>
      <c r="J969" s="97"/>
    </row>
    <row r="970" ht="15.75" customHeight="1">
      <c r="B970" s="97"/>
      <c r="C970" s="97"/>
      <c r="D970" s="97"/>
      <c r="J970" s="97"/>
    </row>
    <row r="971" ht="15.75" customHeight="1">
      <c r="B971" s="97"/>
      <c r="C971" s="97"/>
      <c r="D971" s="97"/>
      <c r="J971" s="97"/>
    </row>
    <row r="972" ht="15.75" customHeight="1">
      <c r="B972" s="97"/>
      <c r="C972" s="97"/>
      <c r="D972" s="97"/>
      <c r="J972" s="97"/>
    </row>
    <row r="973" ht="15.75" customHeight="1">
      <c r="B973" s="97"/>
      <c r="C973" s="97"/>
      <c r="D973" s="97"/>
      <c r="J973" s="97"/>
    </row>
    <row r="974" ht="15.75" customHeight="1">
      <c r="B974" s="97"/>
      <c r="C974" s="97"/>
      <c r="D974" s="97"/>
      <c r="J974" s="97"/>
    </row>
    <row r="975" ht="15.75" customHeight="1">
      <c r="B975" s="97"/>
      <c r="C975" s="97"/>
      <c r="D975" s="97"/>
      <c r="J975" s="97"/>
    </row>
    <row r="976" ht="15.75" customHeight="1">
      <c r="B976" s="97"/>
      <c r="C976" s="97"/>
      <c r="D976" s="97"/>
      <c r="J976" s="97"/>
    </row>
    <row r="977" ht="15.75" customHeight="1">
      <c r="B977" s="97"/>
      <c r="C977" s="97"/>
      <c r="D977" s="97"/>
      <c r="J977" s="97"/>
    </row>
    <row r="978" ht="15.75" customHeight="1">
      <c r="B978" s="97"/>
      <c r="C978" s="97"/>
      <c r="D978" s="97"/>
      <c r="J978" s="97"/>
    </row>
    <row r="979" ht="15.75" customHeight="1">
      <c r="B979" s="97"/>
      <c r="C979" s="97"/>
      <c r="D979" s="97"/>
      <c r="J979" s="97"/>
    </row>
    <row r="980" ht="15.75" customHeight="1">
      <c r="B980" s="97"/>
      <c r="C980" s="97"/>
      <c r="D980" s="97"/>
      <c r="J980" s="97"/>
    </row>
    <row r="981" ht="15.75" customHeight="1">
      <c r="B981" s="97"/>
      <c r="C981" s="97"/>
      <c r="D981" s="97"/>
      <c r="J981" s="97"/>
    </row>
    <row r="982" ht="15.75" customHeight="1">
      <c r="B982" s="97"/>
      <c r="C982" s="97"/>
      <c r="D982" s="97"/>
      <c r="J982" s="97"/>
    </row>
    <row r="983" ht="15.75" customHeight="1">
      <c r="B983" s="97"/>
      <c r="C983" s="97"/>
      <c r="D983" s="97"/>
      <c r="J983" s="97"/>
    </row>
    <row r="984" ht="15.75" customHeight="1">
      <c r="B984" s="97"/>
      <c r="C984" s="97"/>
      <c r="D984" s="97"/>
      <c r="J984" s="97"/>
    </row>
    <row r="985" ht="15.75" customHeight="1">
      <c r="B985" s="97"/>
      <c r="C985" s="97"/>
      <c r="D985" s="97"/>
      <c r="J985" s="97"/>
    </row>
    <row r="986" ht="15.75" customHeight="1">
      <c r="B986" s="97"/>
      <c r="C986" s="97"/>
      <c r="D986" s="97"/>
      <c r="J986" s="97"/>
    </row>
    <row r="987" ht="15.75" customHeight="1">
      <c r="B987" s="97"/>
      <c r="C987" s="97"/>
      <c r="D987" s="97"/>
      <c r="J987" s="97"/>
    </row>
    <row r="988" ht="15.75" customHeight="1">
      <c r="B988" s="97"/>
      <c r="C988" s="97"/>
      <c r="D988" s="97"/>
      <c r="J988" s="97"/>
    </row>
    <row r="989" ht="15.75" customHeight="1">
      <c r="B989" s="97"/>
      <c r="C989" s="97"/>
      <c r="D989" s="97"/>
      <c r="J989" s="97"/>
    </row>
    <row r="990" ht="15.75" customHeight="1">
      <c r="B990" s="97"/>
      <c r="C990" s="97"/>
      <c r="D990" s="97"/>
      <c r="J990" s="97"/>
    </row>
    <row r="991" ht="15.75" customHeight="1">
      <c r="B991" s="97"/>
      <c r="C991" s="97"/>
      <c r="D991" s="97"/>
      <c r="J991" s="97"/>
    </row>
    <row r="992" ht="15.75" customHeight="1">
      <c r="B992" s="97"/>
      <c r="C992" s="97"/>
      <c r="D992" s="97"/>
      <c r="J992" s="97"/>
    </row>
    <row r="993" ht="15.75" customHeight="1">
      <c r="B993" s="97"/>
      <c r="C993" s="97"/>
      <c r="D993" s="97"/>
      <c r="J993" s="97"/>
    </row>
    <row r="994" ht="15.75" customHeight="1">
      <c r="B994" s="97"/>
      <c r="C994" s="97"/>
      <c r="D994" s="97"/>
      <c r="J994" s="97"/>
    </row>
    <row r="995" ht="15.75" customHeight="1">
      <c r="B995" s="97"/>
      <c r="C995" s="97"/>
      <c r="D995" s="97"/>
      <c r="J995" s="97"/>
    </row>
    <row r="996" ht="15.75" customHeight="1">
      <c r="B996" s="97"/>
      <c r="C996" s="97"/>
      <c r="D996" s="97"/>
      <c r="J996" s="97"/>
    </row>
    <row r="997" ht="15.75" customHeight="1">
      <c r="B997" s="97"/>
      <c r="C997" s="97"/>
      <c r="D997" s="97"/>
      <c r="J997" s="97"/>
    </row>
    <row r="998" ht="15.75" customHeight="1">
      <c r="B998" s="97"/>
      <c r="C998" s="97"/>
      <c r="D998" s="97"/>
      <c r="J998" s="97"/>
    </row>
    <row r="999" ht="15.75" customHeight="1">
      <c r="B999" s="97"/>
      <c r="C999" s="97"/>
      <c r="D999" s="97"/>
      <c r="J999" s="97"/>
    </row>
    <row r="1000" ht="15.75" customHeight="1">
      <c r="B1000" s="97"/>
      <c r="C1000" s="97"/>
      <c r="D1000" s="97"/>
      <c r="J1000" s="97"/>
    </row>
  </sheetData>
  <dataValidations>
    <dataValidation type="list" allowBlank="1" sqref="C2:C1000">
      <formula1>"PUSH,MAINTAIN,PARK"</formula1>
    </dataValidation>
    <dataValidation type="list" allowBlank="1" sqref="D2:D1000">
      <formula1>"Ahmad,Emmanuel,Moises,Ahmad + Emmanuel,TBD"</formula1>
    </dataValidation>
    <dataValidation type="list" allowBlank="1" sqref="B2:B1000">
      <formula1>"Function,Project"</formula1>
    </dataValidation>
    <dataValidation type="list" allowBlank="1" sqref="J2:J1000">
      <formula1>"Active,Build,Parked,Complete"</formula1>
    </dataValidation>
  </dataValidations>
  <hyperlinks>
    <hyperlink r:id="rId1" ref="I2"/>
    <hyperlink r:id="rId2" ref="I3"/>
    <hyperlink r:id="rId3" ref="I4"/>
  </hyperlinks>
  <printOptions/>
  <pageMargins bottom="1.0" footer="0.0" header="0.0" left="0.75" right="0.75" top="1.0"/>
  <pageSetup orientation="landscape"/>
  <drawing r:id="rId4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24.0"/>
    <col customWidth="1" min="4" max="5" width="14.0"/>
    <col customWidth="1" min="6" max="6" width="15.0"/>
    <col customWidth="1" min="7" max="7" width="34.0"/>
    <col customWidth="1" min="8" max="8" width="36.0"/>
    <col customWidth="1" min="9" max="9" width="16.0"/>
    <col customWidth="1" min="10" max="26" width="8.71"/>
  </cols>
  <sheetData>
    <row r="1" ht="18.0" customHeight="1">
      <c r="A1" s="126" t="s">
        <v>1171</v>
      </c>
      <c r="B1" s="126" t="s">
        <v>1040</v>
      </c>
      <c r="C1" s="126" t="s">
        <v>481</v>
      </c>
      <c r="D1" s="126" t="s">
        <v>483</v>
      </c>
      <c r="E1" s="126" t="s">
        <v>484</v>
      </c>
      <c r="F1" s="126" t="s">
        <v>1172</v>
      </c>
      <c r="G1" s="126" t="s">
        <v>1173</v>
      </c>
      <c r="H1" s="126" t="s">
        <v>1174</v>
      </c>
      <c r="I1" s="126" t="s">
        <v>10</v>
      </c>
    </row>
    <row r="2" ht="18.0" customHeight="1">
      <c r="A2" s="97" t="s">
        <v>1175</v>
      </c>
      <c r="B2" s="97" t="s">
        <v>690</v>
      </c>
      <c r="C2" s="97" t="s">
        <v>1176</v>
      </c>
      <c r="D2" s="97">
        <v>9300.0</v>
      </c>
      <c r="E2" s="97">
        <v>7547.49</v>
      </c>
      <c r="F2" s="97" t="s">
        <v>1177</v>
      </c>
      <c r="G2" s="97" t="s">
        <v>1178</v>
      </c>
      <c r="I2" s="97" t="s">
        <v>99</v>
      </c>
    </row>
    <row r="3" ht="18.0" customHeight="1">
      <c r="A3" s="97" t="s">
        <v>1175</v>
      </c>
      <c r="B3" s="97" t="s">
        <v>690</v>
      </c>
      <c r="C3" s="97" t="s">
        <v>1179</v>
      </c>
      <c r="D3" s="127">
        <v>0.22</v>
      </c>
      <c r="E3" s="127">
        <v>0.355</v>
      </c>
      <c r="F3" s="97" t="s">
        <v>1180</v>
      </c>
      <c r="G3" s="97" t="s">
        <v>1181</v>
      </c>
      <c r="I3" s="97" t="s">
        <v>99</v>
      </c>
    </row>
    <row r="4" ht="18.0" customHeight="1">
      <c r="A4" s="97" t="s">
        <v>1175</v>
      </c>
      <c r="B4" s="97" t="s">
        <v>690</v>
      </c>
      <c r="C4" s="97" t="s">
        <v>1182</v>
      </c>
      <c r="D4" s="127"/>
      <c r="E4" s="128">
        <v>0.0372</v>
      </c>
      <c r="G4" s="97" t="s">
        <v>1183</v>
      </c>
      <c r="I4" s="97" t="s">
        <v>99</v>
      </c>
    </row>
    <row r="5" ht="18.0" customHeight="1">
      <c r="B5" s="97" t="s">
        <v>146</v>
      </c>
      <c r="C5" s="97" t="s">
        <v>1184</v>
      </c>
      <c r="I5" s="97" t="s">
        <v>99</v>
      </c>
    </row>
    <row r="6" ht="18.0" customHeight="1">
      <c r="B6" s="97" t="s">
        <v>146</v>
      </c>
      <c r="C6" s="97" t="s">
        <v>1185</v>
      </c>
      <c r="I6" s="97" t="s">
        <v>99</v>
      </c>
    </row>
    <row r="7" ht="18.0" customHeight="1">
      <c r="B7" s="97" t="s">
        <v>146</v>
      </c>
      <c r="C7" s="97" t="s">
        <v>1186</v>
      </c>
      <c r="I7" s="97" t="s">
        <v>99</v>
      </c>
    </row>
    <row r="8" ht="18.0" customHeight="1">
      <c r="B8" s="97" t="s">
        <v>146</v>
      </c>
      <c r="C8" s="97" t="s">
        <v>1187</v>
      </c>
      <c r="I8" s="97" t="s">
        <v>99</v>
      </c>
    </row>
    <row r="9" ht="18.0" customHeight="1">
      <c r="B9" s="97" t="s">
        <v>146</v>
      </c>
      <c r="C9" s="97" t="s">
        <v>1188</v>
      </c>
      <c r="I9" s="97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24.0"/>
    <col customWidth="1" min="3" max="3" width="38.0"/>
    <col customWidth="1" min="4" max="4" width="50.0"/>
    <col customWidth="1" min="5" max="6" width="38.0"/>
    <col customWidth="1" min="7" max="7" width="22.0"/>
    <col customWidth="1" min="8" max="8" width="14.0"/>
    <col customWidth="1" min="9" max="26" width="8.71"/>
  </cols>
  <sheetData>
    <row r="1" ht="18.0" customHeight="1">
      <c r="A1" s="126" t="s">
        <v>1190</v>
      </c>
      <c r="B1" s="126" t="s">
        <v>25</v>
      </c>
      <c r="C1" s="126" t="s">
        <v>1191</v>
      </c>
      <c r="D1" s="126" t="s">
        <v>1192</v>
      </c>
      <c r="E1" s="126" t="s">
        <v>1193</v>
      </c>
      <c r="F1" s="126" t="s">
        <v>1194</v>
      </c>
      <c r="G1" s="126" t="s">
        <v>1195</v>
      </c>
      <c r="H1" s="126" t="s">
        <v>12</v>
      </c>
    </row>
    <row r="2" ht="18.0" customHeight="1">
      <c r="A2" s="121" t="s">
        <v>331</v>
      </c>
      <c r="B2" s="121" t="s">
        <v>1196</v>
      </c>
      <c r="C2" s="121" t="s">
        <v>1197</v>
      </c>
      <c r="D2" s="121" t="s">
        <v>1198</v>
      </c>
      <c r="E2" s="121" t="s">
        <v>1199</v>
      </c>
      <c r="F2" s="121"/>
      <c r="G2" s="121"/>
      <c r="H2" s="121" t="s">
        <v>993</v>
      </c>
    </row>
    <row r="3" ht="18.0" customHeight="1">
      <c r="A3" s="121" t="s">
        <v>99</v>
      </c>
      <c r="B3" s="121" t="s">
        <v>341</v>
      </c>
      <c r="C3" s="121" t="s">
        <v>1200</v>
      </c>
      <c r="D3" s="121" t="s">
        <v>1201</v>
      </c>
      <c r="E3" s="121" t="s">
        <v>1202</v>
      </c>
      <c r="F3" s="121" t="s">
        <v>1203</v>
      </c>
      <c r="G3" s="121" t="s">
        <v>331</v>
      </c>
      <c r="H3" s="121" t="s">
        <v>993</v>
      </c>
    </row>
    <row r="4" ht="18.0" customHeight="1">
      <c r="A4" s="121" t="s">
        <v>109</v>
      </c>
      <c r="B4" s="121" t="s">
        <v>350</v>
      </c>
      <c r="C4" s="121" t="s">
        <v>1204</v>
      </c>
      <c r="D4" s="121" t="s">
        <v>1205</v>
      </c>
      <c r="E4" s="121" t="s">
        <v>1206</v>
      </c>
      <c r="F4" s="121"/>
      <c r="G4" s="121" t="s">
        <v>99</v>
      </c>
      <c r="H4" s="121" t="s">
        <v>993</v>
      </c>
    </row>
    <row r="5">
      <c r="A5" s="30" t="s">
        <v>1002</v>
      </c>
      <c r="B5" s="30" t="s">
        <v>1207</v>
      </c>
      <c r="C5" s="30" t="s">
        <v>1208</v>
      </c>
      <c r="D5" s="30" t="s">
        <v>1209</v>
      </c>
      <c r="E5" s="30" t="s">
        <v>1210</v>
      </c>
      <c r="F5" s="30" t="s">
        <v>1211</v>
      </c>
      <c r="G5" s="30" t="s">
        <v>99</v>
      </c>
      <c r="H5" s="30" t="s">
        <v>994</v>
      </c>
    </row>
    <row r="6">
      <c r="A6" s="30" t="s">
        <v>920</v>
      </c>
      <c r="B6" s="30" t="s">
        <v>1006</v>
      </c>
      <c r="C6" s="30" t="s">
        <v>690</v>
      </c>
      <c r="D6" s="30" t="s">
        <v>1212</v>
      </c>
      <c r="E6" s="30" t="s">
        <v>1213</v>
      </c>
      <c r="F6" s="30" t="s">
        <v>1214</v>
      </c>
      <c r="G6" s="30" t="s">
        <v>99</v>
      </c>
      <c r="H6" s="30" t="s">
        <v>993</v>
      </c>
    </row>
    <row r="7">
      <c r="A7" s="30" t="s">
        <v>925</v>
      </c>
      <c r="B7" s="30" t="s">
        <v>1009</v>
      </c>
      <c r="C7" s="30" t="s">
        <v>690</v>
      </c>
      <c r="D7" s="30" t="s">
        <v>1215</v>
      </c>
      <c r="E7" s="30" t="s">
        <v>1216</v>
      </c>
      <c r="F7" s="30" t="s">
        <v>1217</v>
      </c>
      <c r="G7" s="30" t="s">
        <v>1218</v>
      </c>
      <c r="H7" s="30" t="s">
        <v>993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4.0"/>
    <col customWidth="1" min="3" max="3" width="46.0"/>
    <col customWidth="1" min="4" max="4" width="16.0"/>
    <col customWidth="1" min="5" max="7" width="14.0"/>
    <col customWidth="1" min="8" max="8" width="42.0"/>
    <col customWidth="1" min="9" max="10" width="18.0"/>
    <col customWidth="1" min="11" max="26" width="8.71"/>
  </cols>
  <sheetData>
    <row r="1" ht="18.0" customHeight="1">
      <c r="A1" s="126" t="s">
        <v>621</v>
      </c>
      <c r="B1" s="126" t="s">
        <v>1040</v>
      </c>
      <c r="C1" s="126" t="s">
        <v>1219</v>
      </c>
      <c r="D1" s="126" t="s">
        <v>1220</v>
      </c>
      <c r="E1" s="126" t="s">
        <v>1221</v>
      </c>
      <c r="F1" s="126" t="s">
        <v>1222</v>
      </c>
      <c r="G1" s="126" t="s">
        <v>12</v>
      </c>
      <c r="H1" s="126" t="s">
        <v>1223</v>
      </c>
      <c r="I1" s="126" t="s">
        <v>1224</v>
      </c>
      <c r="J1" s="126" t="s">
        <v>1225</v>
      </c>
    </row>
    <row r="2">
      <c r="A2" s="30" t="s">
        <v>1226</v>
      </c>
      <c r="B2" s="30" t="s">
        <v>146</v>
      </c>
      <c r="C2" s="30" t="s">
        <v>1227</v>
      </c>
      <c r="D2" s="30" t="s">
        <v>99</v>
      </c>
      <c r="E2" s="30">
        <v>46264.0</v>
      </c>
      <c r="F2" s="30">
        <v>46266.0</v>
      </c>
      <c r="G2" s="30" t="s">
        <v>677</v>
      </c>
      <c r="I2" s="30" t="s">
        <v>99</v>
      </c>
      <c r="J2" s="30" t="s">
        <v>1228</v>
      </c>
    </row>
    <row r="3">
      <c r="A3" s="30" t="s">
        <v>1229</v>
      </c>
      <c r="B3" s="30" t="s">
        <v>886</v>
      </c>
      <c r="C3" s="30" t="s">
        <v>1230</v>
      </c>
      <c r="D3" s="30" t="s">
        <v>331</v>
      </c>
      <c r="E3" s="30">
        <v>46264.0</v>
      </c>
      <c r="F3" s="30">
        <v>46264.0</v>
      </c>
      <c r="G3" s="30" t="s">
        <v>1231</v>
      </c>
      <c r="H3" s="30" t="s">
        <v>1232</v>
      </c>
      <c r="I3" s="30" t="s">
        <v>331</v>
      </c>
    </row>
    <row r="4">
      <c r="D4" s="97"/>
      <c r="G4" s="97"/>
    </row>
    <row r="5">
      <c r="D5" s="97"/>
      <c r="G5" s="97"/>
    </row>
    <row r="6">
      <c r="D6" s="97"/>
      <c r="G6" s="97"/>
    </row>
    <row r="7">
      <c r="D7" s="97"/>
      <c r="G7" s="97"/>
    </row>
    <row r="8">
      <c r="D8" s="97"/>
      <c r="G8" s="97"/>
    </row>
    <row r="9">
      <c r="D9" s="97"/>
      <c r="G9" s="97"/>
    </row>
    <row r="10">
      <c r="D10" s="97"/>
      <c r="G10" s="97"/>
    </row>
    <row r="11">
      <c r="D11" s="97"/>
      <c r="G11" s="97"/>
    </row>
    <row r="12">
      <c r="D12" s="97"/>
      <c r="G12" s="97"/>
    </row>
    <row r="13">
      <c r="D13" s="97"/>
      <c r="G13" s="97"/>
    </row>
    <row r="14">
      <c r="D14" s="97"/>
      <c r="G14" s="97"/>
    </row>
    <row r="15">
      <c r="D15" s="97"/>
      <c r="G15" s="97"/>
    </row>
    <row r="16">
      <c r="D16" s="97"/>
      <c r="G16" s="97"/>
    </row>
    <row r="17">
      <c r="D17" s="97"/>
      <c r="G17" s="97"/>
    </row>
    <row r="18">
      <c r="D18" s="97"/>
      <c r="G18" s="97"/>
    </row>
    <row r="19">
      <c r="D19" s="97"/>
      <c r="G19" s="97"/>
    </row>
    <row r="20">
      <c r="D20" s="97"/>
      <c r="G20" s="97"/>
    </row>
    <row r="21" ht="15.75" customHeight="1">
      <c r="D21" s="97"/>
      <c r="G21" s="97"/>
    </row>
    <row r="22" ht="15.75" customHeight="1">
      <c r="D22" s="97"/>
      <c r="G22" s="97"/>
    </row>
    <row r="23" ht="15.75" customHeight="1">
      <c r="D23" s="97"/>
      <c r="G23" s="97"/>
    </row>
    <row r="24" ht="15.75" customHeight="1">
      <c r="D24" s="97"/>
      <c r="G24" s="97"/>
    </row>
    <row r="25" ht="15.75" customHeight="1">
      <c r="D25" s="97"/>
      <c r="G25" s="97"/>
    </row>
    <row r="26" ht="15.75" customHeight="1">
      <c r="D26" s="97"/>
      <c r="G26" s="97"/>
    </row>
    <row r="27" ht="15.75" customHeight="1">
      <c r="D27" s="97"/>
      <c r="G27" s="97"/>
    </row>
    <row r="28" ht="15.75" customHeight="1">
      <c r="D28" s="97"/>
      <c r="G28" s="97"/>
    </row>
    <row r="29" ht="15.75" customHeight="1">
      <c r="D29" s="97"/>
      <c r="G29" s="97"/>
    </row>
    <row r="30" ht="15.75" customHeight="1">
      <c r="D30" s="97"/>
      <c r="G30" s="97"/>
    </row>
    <row r="31" ht="15.75" customHeight="1">
      <c r="D31" s="97"/>
      <c r="G31" s="97"/>
    </row>
    <row r="32" ht="15.75" customHeight="1">
      <c r="D32" s="97"/>
      <c r="G32" s="97"/>
    </row>
    <row r="33" ht="15.75" customHeight="1">
      <c r="D33" s="97"/>
      <c r="G33" s="97"/>
    </row>
    <row r="34" ht="15.75" customHeight="1">
      <c r="D34" s="97"/>
      <c r="G34" s="97"/>
    </row>
    <row r="35" ht="15.75" customHeight="1">
      <c r="D35" s="97"/>
      <c r="G35" s="97"/>
    </row>
    <row r="36" ht="15.75" customHeight="1">
      <c r="D36" s="97"/>
      <c r="G36" s="97"/>
    </row>
    <row r="37" ht="15.75" customHeight="1">
      <c r="D37" s="97"/>
      <c r="G37" s="97"/>
    </row>
    <row r="38" ht="15.75" customHeight="1">
      <c r="D38" s="97"/>
      <c r="G38" s="97"/>
    </row>
    <row r="39" ht="15.75" customHeight="1">
      <c r="D39" s="97"/>
      <c r="G39" s="97"/>
    </row>
    <row r="40" ht="15.75" customHeight="1">
      <c r="D40" s="97"/>
      <c r="G40" s="97"/>
    </row>
    <row r="41" ht="15.75" customHeight="1">
      <c r="D41" s="97"/>
      <c r="G41" s="97"/>
    </row>
    <row r="42" ht="15.75" customHeight="1">
      <c r="D42" s="97"/>
      <c r="G42" s="97"/>
    </row>
    <row r="43" ht="15.75" customHeight="1">
      <c r="D43" s="97"/>
      <c r="G43" s="97"/>
    </row>
    <row r="44" ht="15.75" customHeight="1">
      <c r="D44" s="97"/>
      <c r="G44" s="97"/>
    </row>
    <row r="45" ht="15.75" customHeight="1">
      <c r="D45" s="97"/>
      <c r="G45" s="97"/>
    </row>
    <row r="46" ht="15.75" customHeight="1">
      <c r="D46" s="97"/>
      <c r="G46" s="97"/>
    </row>
    <row r="47" ht="15.75" customHeight="1">
      <c r="D47" s="97"/>
      <c r="G47" s="97"/>
    </row>
    <row r="48" ht="15.75" customHeight="1">
      <c r="D48" s="97"/>
      <c r="G48" s="97"/>
    </row>
    <row r="49" ht="15.75" customHeight="1">
      <c r="D49" s="97"/>
      <c r="G49" s="97"/>
    </row>
    <row r="50" ht="15.75" customHeight="1">
      <c r="D50" s="97"/>
      <c r="G50" s="97"/>
    </row>
    <row r="51" ht="15.75" customHeight="1">
      <c r="D51" s="97"/>
      <c r="G51" s="97"/>
    </row>
    <row r="52" ht="15.75" customHeight="1">
      <c r="D52" s="97"/>
      <c r="G52" s="97"/>
    </row>
    <row r="53" ht="15.75" customHeight="1">
      <c r="D53" s="97"/>
      <c r="G53" s="97"/>
    </row>
    <row r="54" ht="15.75" customHeight="1">
      <c r="D54" s="97"/>
      <c r="G54" s="97"/>
    </row>
    <row r="55" ht="15.75" customHeight="1">
      <c r="D55" s="97"/>
      <c r="G55" s="97"/>
    </row>
    <row r="56" ht="15.75" customHeight="1">
      <c r="D56" s="97"/>
      <c r="G56" s="97"/>
    </row>
    <row r="57" ht="15.75" customHeight="1">
      <c r="D57" s="97"/>
      <c r="G57" s="97"/>
    </row>
    <row r="58" ht="15.75" customHeight="1">
      <c r="D58" s="97"/>
      <c r="G58" s="97"/>
    </row>
    <row r="59" ht="15.75" customHeight="1">
      <c r="D59" s="97"/>
      <c r="G59" s="97"/>
    </row>
    <row r="60" ht="15.75" customHeight="1">
      <c r="D60" s="97"/>
      <c r="G60" s="97"/>
    </row>
    <row r="61" ht="15.75" customHeight="1">
      <c r="D61" s="97"/>
      <c r="G61" s="97"/>
    </row>
    <row r="62" ht="15.75" customHeight="1">
      <c r="D62" s="97"/>
      <c r="G62" s="97"/>
    </row>
    <row r="63" ht="15.75" customHeight="1">
      <c r="D63" s="97"/>
      <c r="G63" s="97"/>
    </row>
    <row r="64" ht="15.75" customHeight="1">
      <c r="D64" s="97"/>
      <c r="G64" s="97"/>
    </row>
    <row r="65" ht="15.75" customHeight="1">
      <c r="D65" s="97"/>
      <c r="G65" s="97"/>
    </row>
    <row r="66" ht="15.75" customHeight="1">
      <c r="D66" s="97"/>
      <c r="G66" s="97"/>
    </row>
    <row r="67" ht="15.75" customHeight="1">
      <c r="D67" s="97"/>
      <c r="G67" s="97"/>
    </row>
    <row r="68" ht="15.75" customHeight="1">
      <c r="D68" s="97"/>
      <c r="G68" s="97"/>
    </row>
    <row r="69" ht="15.75" customHeight="1">
      <c r="D69" s="97"/>
      <c r="G69" s="97"/>
    </row>
    <row r="70" ht="15.75" customHeight="1">
      <c r="D70" s="97"/>
      <c r="G70" s="97"/>
    </row>
    <row r="71" ht="15.75" customHeight="1">
      <c r="D71" s="97"/>
      <c r="G71" s="97"/>
    </row>
    <row r="72" ht="15.75" customHeight="1">
      <c r="D72" s="97"/>
      <c r="G72" s="97"/>
    </row>
    <row r="73" ht="15.75" customHeight="1">
      <c r="D73" s="97"/>
      <c r="G73" s="97"/>
    </row>
    <row r="74" ht="15.75" customHeight="1">
      <c r="D74" s="97"/>
      <c r="G74" s="97"/>
    </row>
    <row r="75" ht="15.75" customHeight="1">
      <c r="D75" s="97"/>
      <c r="G75" s="97"/>
    </row>
    <row r="76" ht="15.75" customHeight="1">
      <c r="D76" s="97"/>
      <c r="G76" s="97"/>
    </row>
    <row r="77" ht="15.75" customHeight="1">
      <c r="D77" s="97"/>
      <c r="G77" s="97"/>
    </row>
    <row r="78" ht="15.75" customHeight="1">
      <c r="D78" s="97"/>
      <c r="G78" s="97"/>
    </row>
    <row r="79" ht="15.75" customHeight="1">
      <c r="D79" s="97"/>
      <c r="G79" s="97"/>
    </row>
    <row r="80" ht="15.75" customHeight="1">
      <c r="D80" s="97"/>
      <c r="G80" s="97"/>
    </row>
    <row r="81" ht="15.75" customHeight="1">
      <c r="D81" s="97"/>
      <c r="G81" s="97"/>
    </row>
    <row r="82" ht="15.75" customHeight="1">
      <c r="D82" s="97"/>
      <c r="G82" s="97"/>
    </row>
    <row r="83" ht="15.75" customHeight="1">
      <c r="D83" s="97"/>
      <c r="G83" s="97"/>
    </row>
    <row r="84" ht="15.75" customHeight="1">
      <c r="D84" s="97"/>
      <c r="G84" s="97"/>
    </row>
    <row r="85" ht="15.75" customHeight="1">
      <c r="D85" s="97"/>
      <c r="G85" s="97"/>
    </row>
    <row r="86" ht="15.75" customHeight="1">
      <c r="D86" s="97"/>
      <c r="G86" s="97"/>
    </row>
    <row r="87" ht="15.75" customHeight="1">
      <c r="D87" s="97"/>
      <c r="G87" s="97"/>
    </row>
    <row r="88" ht="15.75" customHeight="1">
      <c r="D88" s="97"/>
      <c r="G88" s="97"/>
    </row>
    <row r="89" ht="15.75" customHeight="1">
      <c r="D89" s="97"/>
      <c r="G89" s="97"/>
    </row>
    <row r="90" ht="15.75" customHeight="1">
      <c r="D90" s="97"/>
      <c r="G90" s="97"/>
    </row>
    <row r="91" ht="15.75" customHeight="1">
      <c r="D91" s="97"/>
      <c r="G91" s="97"/>
    </row>
    <row r="92" ht="15.75" customHeight="1">
      <c r="D92" s="97"/>
      <c r="G92" s="97"/>
    </row>
    <row r="93" ht="15.75" customHeight="1">
      <c r="D93" s="97"/>
      <c r="G93" s="97"/>
    </row>
    <row r="94" ht="15.75" customHeight="1">
      <c r="D94" s="97"/>
      <c r="G94" s="97"/>
    </row>
    <row r="95" ht="15.75" customHeight="1">
      <c r="D95" s="97"/>
      <c r="G95" s="97"/>
    </row>
    <row r="96" ht="15.75" customHeight="1">
      <c r="D96" s="97"/>
      <c r="G96" s="97"/>
    </row>
    <row r="97" ht="15.75" customHeight="1">
      <c r="D97" s="97"/>
      <c r="G97" s="97"/>
    </row>
    <row r="98" ht="15.75" customHeight="1">
      <c r="D98" s="97"/>
      <c r="G98" s="97"/>
    </row>
    <row r="99" ht="15.75" customHeight="1">
      <c r="D99" s="97"/>
      <c r="G99" s="97"/>
    </row>
    <row r="100" ht="15.75" customHeight="1">
      <c r="D100" s="97"/>
      <c r="G100" s="97"/>
    </row>
    <row r="101" ht="15.75" customHeight="1">
      <c r="D101" s="97"/>
      <c r="G101" s="97"/>
    </row>
    <row r="102" ht="15.75" customHeight="1">
      <c r="D102" s="97"/>
      <c r="G102" s="97"/>
    </row>
    <row r="103" ht="15.75" customHeight="1">
      <c r="D103" s="97"/>
      <c r="G103" s="97"/>
    </row>
    <row r="104" ht="15.75" customHeight="1">
      <c r="D104" s="97"/>
      <c r="G104" s="97"/>
    </row>
    <row r="105" ht="15.75" customHeight="1">
      <c r="D105" s="97"/>
      <c r="G105" s="97"/>
    </row>
    <row r="106" ht="15.75" customHeight="1">
      <c r="D106" s="97"/>
      <c r="G106" s="97"/>
    </row>
    <row r="107" ht="15.75" customHeight="1">
      <c r="D107" s="97"/>
      <c r="G107" s="97"/>
    </row>
    <row r="108" ht="15.75" customHeight="1">
      <c r="D108" s="97"/>
      <c r="G108" s="97"/>
    </row>
    <row r="109" ht="15.75" customHeight="1">
      <c r="D109" s="97"/>
      <c r="G109" s="97"/>
    </row>
    <row r="110" ht="15.75" customHeight="1">
      <c r="D110" s="97"/>
      <c r="G110" s="97"/>
    </row>
    <row r="111" ht="15.75" customHeight="1">
      <c r="D111" s="97"/>
      <c r="G111" s="97"/>
    </row>
    <row r="112" ht="15.75" customHeight="1">
      <c r="D112" s="97"/>
      <c r="G112" s="97"/>
    </row>
    <row r="113" ht="15.75" customHeight="1">
      <c r="D113" s="97"/>
      <c r="G113" s="97"/>
    </row>
    <row r="114" ht="15.75" customHeight="1">
      <c r="D114" s="97"/>
      <c r="G114" s="97"/>
    </row>
    <row r="115" ht="15.75" customHeight="1">
      <c r="D115" s="97"/>
      <c r="G115" s="97"/>
    </row>
    <row r="116" ht="15.75" customHeight="1">
      <c r="D116" s="97"/>
      <c r="G116" s="97"/>
    </row>
    <row r="117" ht="15.75" customHeight="1">
      <c r="D117" s="97"/>
      <c r="G117" s="97"/>
    </row>
    <row r="118" ht="15.75" customHeight="1">
      <c r="D118" s="97"/>
      <c r="G118" s="97"/>
    </row>
    <row r="119" ht="15.75" customHeight="1">
      <c r="D119" s="97"/>
      <c r="G119" s="97"/>
    </row>
    <row r="120" ht="15.75" customHeight="1">
      <c r="D120" s="97"/>
      <c r="G120" s="97"/>
    </row>
    <row r="121" ht="15.75" customHeight="1">
      <c r="D121" s="97"/>
      <c r="G121" s="97"/>
    </row>
    <row r="122" ht="15.75" customHeight="1">
      <c r="D122" s="97"/>
      <c r="G122" s="97"/>
    </row>
    <row r="123" ht="15.75" customHeight="1">
      <c r="D123" s="97"/>
      <c r="G123" s="97"/>
    </row>
    <row r="124" ht="15.75" customHeight="1">
      <c r="D124" s="97"/>
      <c r="G124" s="97"/>
    </row>
    <row r="125" ht="15.75" customHeight="1">
      <c r="D125" s="97"/>
      <c r="G125" s="97"/>
    </row>
    <row r="126" ht="15.75" customHeight="1">
      <c r="D126" s="97"/>
      <c r="G126" s="97"/>
    </row>
    <row r="127" ht="15.75" customHeight="1">
      <c r="D127" s="97"/>
      <c r="G127" s="97"/>
    </row>
    <row r="128" ht="15.75" customHeight="1">
      <c r="D128" s="97"/>
      <c r="G128" s="97"/>
    </row>
    <row r="129" ht="15.75" customHeight="1">
      <c r="D129" s="97"/>
      <c r="G129" s="97"/>
    </row>
    <row r="130" ht="15.75" customHeight="1">
      <c r="D130" s="97"/>
      <c r="G130" s="97"/>
    </row>
    <row r="131" ht="15.75" customHeight="1">
      <c r="D131" s="97"/>
      <c r="G131" s="97"/>
    </row>
    <row r="132" ht="15.75" customHeight="1">
      <c r="D132" s="97"/>
      <c r="G132" s="97"/>
    </row>
    <row r="133" ht="15.75" customHeight="1">
      <c r="D133" s="97"/>
      <c r="G133" s="97"/>
    </row>
    <row r="134" ht="15.75" customHeight="1">
      <c r="D134" s="97"/>
      <c r="G134" s="97"/>
    </row>
    <row r="135" ht="15.75" customHeight="1">
      <c r="D135" s="97"/>
      <c r="G135" s="97"/>
    </row>
    <row r="136" ht="15.75" customHeight="1">
      <c r="D136" s="97"/>
      <c r="G136" s="97"/>
    </row>
    <row r="137" ht="15.75" customHeight="1">
      <c r="D137" s="97"/>
      <c r="G137" s="97"/>
    </row>
    <row r="138" ht="15.75" customHeight="1">
      <c r="D138" s="97"/>
      <c r="G138" s="97"/>
    </row>
    <row r="139" ht="15.75" customHeight="1">
      <c r="D139" s="97"/>
      <c r="G139" s="97"/>
    </row>
    <row r="140" ht="15.75" customHeight="1">
      <c r="D140" s="97"/>
      <c r="G140" s="97"/>
    </row>
    <row r="141" ht="15.75" customHeight="1">
      <c r="D141" s="97"/>
      <c r="G141" s="97"/>
    </row>
    <row r="142" ht="15.75" customHeight="1">
      <c r="D142" s="97"/>
      <c r="G142" s="97"/>
    </row>
    <row r="143" ht="15.75" customHeight="1">
      <c r="D143" s="97"/>
      <c r="G143" s="97"/>
    </row>
    <row r="144" ht="15.75" customHeight="1">
      <c r="D144" s="97"/>
      <c r="G144" s="97"/>
    </row>
    <row r="145" ht="15.75" customHeight="1">
      <c r="D145" s="97"/>
      <c r="G145" s="97"/>
    </row>
    <row r="146" ht="15.75" customHeight="1">
      <c r="D146" s="97"/>
      <c r="G146" s="97"/>
    </row>
    <row r="147" ht="15.75" customHeight="1">
      <c r="D147" s="97"/>
      <c r="G147" s="97"/>
    </row>
    <row r="148" ht="15.75" customHeight="1">
      <c r="D148" s="97"/>
      <c r="G148" s="97"/>
    </row>
    <row r="149" ht="15.75" customHeight="1">
      <c r="D149" s="97"/>
      <c r="G149" s="97"/>
    </row>
    <row r="150" ht="15.75" customHeight="1">
      <c r="D150" s="97"/>
      <c r="G150" s="97"/>
    </row>
    <row r="151" ht="15.75" customHeight="1">
      <c r="D151" s="97"/>
      <c r="G151" s="97"/>
    </row>
    <row r="152" ht="15.75" customHeight="1">
      <c r="D152" s="97"/>
      <c r="G152" s="97"/>
    </row>
    <row r="153" ht="15.75" customHeight="1">
      <c r="D153" s="97"/>
      <c r="G153" s="97"/>
    </row>
    <row r="154" ht="15.75" customHeight="1">
      <c r="D154" s="97"/>
      <c r="G154" s="97"/>
    </row>
    <row r="155" ht="15.75" customHeight="1">
      <c r="D155" s="97"/>
      <c r="G155" s="97"/>
    </row>
    <row r="156" ht="15.75" customHeight="1">
      <c r="D156" s="97"/>
      <c r="G156" s="97"/>
    </row>
    <row r="157" ht="15.75" customHeight="1">
      <c r="D157" s="97"/>
      <c r="G157" s="97"/>
    </row>
    <row r="158" ht="15.75" customHeight="1">
      <c r="D158" s="97"/>
      <c r="G158" s="97"/>
    </row>
    <row r="159" ht="15.75" customHeight="1">
      <c r="D159" s="97"/>
      <c r="G159" s="97"/>
    </row>
    <row r="160" ht="15.75" customHeight="1">
      <c r="D160" s="97"/>
      <c r="G160" s="97"/>
    </row>
    <row r="161" ht="15.75" customHeight="1">
      <c r="D161" s="97"/>
      <c r="G161" s="97"/>
    </row>
    <row r="162" ht="15.75" customHeight="1">
      <c r="D162" s="97"/>
      <c r="G162" s="97"/>
    </row>
    <row r="163" ht="15.75" customHeight="1">
      <c r="D163" s="97"/>
      <c r="G163" s="97"/>
    </row>
    <row r="164" ht="15.75" customHeight="1">
      <c r="D164" s="97"/>
      <c r="G164" s="97"/>
    </row>
    <row r="165" ht="15.75" customHeight="1">
      <c r="D165" s="97"/>
      <c r="G165" s="97"/>
    </row>
    <row r="166" ht="15.75" customHeight="1">
      <c r="D166" s="97"/>
      <c r="G166" s="97"/>
    </row>
    <row r="167" ht="15.75" customHeight="1">
      <c r="D167" s="97"/>
      <c r="G167" s="97"/>
    </row>
    <row r="168" ht="15.75" customHeight="1">
      <c r="D168" s="97"/>
      <c r="G168" s="97"/>
    </row>
    <row r="169" ht="15.75" customHeight="1">
      <c r="D169" s="97"/>
      <c r="G169" s="97"/>
    </row>
    <row r="170" ht="15.75" customHeight="1">
      <c r="D170" s="97"/>
      <c r="G170" s="97"/>
    </row>
    <row r="171" ht="15.75" customHeight="1">
      <c r="D171" s="97"/>
      <c r="G171" s="97"/>
    </row>
    <row r="172" ht="15.75" customHeight="1">
      <c r="D172" s="97"/>
      <c r="G172" s="97"/>
    </row>
    <row r="173" ht="15.75" customHeight="1">
      <c r="D173" s="97"/>
      <c r="G173" s="97"/>
    </row>
    <row r="174" ht="15.75" customHeight="1">
      <c r="D174" s="97"/>
      <c r="G174" s="97"/>
    </row>
    <row r="175" ht="15.75" customHeight="1">
      <c r="D175" s="97"/>
      <c r="G175" s="97"/>
    </row>
    <row r="176" ht="15.75" customHeight="1">
      <c r="D176" s="97"/>
      <c r="G176" s="97"/>
    </row>
    <row r="177" ht="15.75" customHeight="1">
      <c r="D177" s="97"/>
      <c r="G177" s="97"/>
    </row>
    <row r="178" ht="15.75" customHeight="1">
      <c r="D178" s="97"/>
      <c r="G178" s="97"/>
    </row>
    <row r="179" ht="15.75" customHeight="1">
      <c r="D179" s="97"/>
      <c r="G179" s="97"/>
    </row>
    <row r="180" ht="15.75" customHeight="1">
      <c r="D180" s="97"/>
      <c r="G180" s="97"/>
    </row>
    <row r="181" ht="15.75" customHeight="1">
      <c r="D181" s="97"/>
      <c r="G181" s="97"/>
    </row>
    <row r="182" ht="15.75" customHeight="1">
      <c r="D182" s="97"/>
      <c r="G182" s="97"/>
    </row>
    <row r="183" ht="15.75" customHeight="1">
      <c r="D183" s="97"/>
      <c r="G183" s="97"/>
    </row>
    <row r="184" ht="15.75" customHeight="1">
      <c r="D184" s="97"/>
      <c r="G184" s="97"/>
    </row>
    <row r="185" ht="15.75" customHeight="1">
      <c r="D185" s="97"/>
      <c r="G185" s="97"/>
    </row>
    <row r="186" ht="15.75" customHeight="1">
      <c r="D186" s="97"/>
      <c r="G186" s="97"/>
    </row>
    <row r="187" ht="15.75" customHeight="1">
      <c r="D187" s="97"/>
      <c r="G187" s="97"/>
    </row>
    <row r="188" ht="15.75" customHeight="1">
      <c r="D188" s="97"/>
      <c r="G188" s="97"/>
    </row>
    <row r="189" ht="15.75" customHeight="1">
      <c r="D189" s="97"/>
      <c r="G189" s="97"/>
    </row>
    <row r="190" ht="15.75" customHeight="1">
      <c r="D190" s="97"/>
      <c r="G190" s="97"/>
    </row>
    <row r="191" ht="15.75" customHeight="1">
      <c r="D191" s="97"/>
      <c r="G191" s="97"/>
    </row>
    <row r="192" ht="15.75" customHeight="1">
      <c r="D192" s="97"/>
      <c r="G192" s="97"/>
    </row>
    <row r="193" ht="15.75" customHeight="1">
      <c r="D193" s="97"/>
      <c r="G193" s="97"/>
    </row>
    <row r="194" ht="15.75" customHeight="1">
      <c r="D194" s="97"/>
      <c r="G194" s="97"/>
    </row>
    <row r="195" ht="15.75" customHeight="1">
      <c r="D195" s="97"/>
      <c r="G195" s="97"/>
    </row>
    <row r="196" ht="15.75" customHeight="1">
      <c r="D196" s="97"/>
      <c r="G196" s="97"/>
    </row>
    <row r="197" ht="15.75" customHeight="1">
      <c r="D197" s="97"/>
      <c r="G197" s="97"/>
    </row>
    <row r="198" ht="15.75" customHeight="1">
      <c r="D198" s="97"/>
      <c r="G198" s="97"/>
    </row>
    <row r="199" ht="15.75" customHeight="1">
      <c r="D199" s="97"/>
      <c r="G199" s="97"/>
    </row>
    <row r="200" ht="15.75" customHeight="1">
      <c r="D200" s="97"/>
      <c r="G200" s="97"/>
    </row>
    <row r="201" ht="15.75" customHeight="1">
      <c r="D201" s="97"/>
      <c r="G201" s="97"/>
    </row>
    <row r="202" ht="15.75" customHeight="1">
      <c r="D202" s="97"/>
      <c r="G202" s="97"/>
    </row>
    <row r="203" ht="15.75" customHeight="1">
      <c r="D203" s="97"/>
      <c r="G203" s="97"/>
    </row>
    <row r="204" ht="15.75" customHeight="1">
      <c r="D204" s="97"/>
      <c r="G204" s="97"/>
    </row>
    <row r="205" ht="15.75" customHeight="1">
      <c r="D205" s="97"/>
      <c r="G205" s="97"/>
    </row>
    <row r="206" ht="15.75" customHeight="1">
      <c r="D206" s="97"/>
      <c r="G206" s="97"/>
    </row>
    <row r="207" ht="15.75" customHeight="1">
      <c r="D207" s="97"/>
      <c r="G207" s="97"/>
    </row>
    <row r="208" ht="15.75" customHeight="1">
      <c r="D208" s="97"/>
      <c r="G208" s="97"/>
    </row>
    <row r="209" ht="15.75" customHeight="1">
      <c r="D209" s="97"/>
      <c r="G209" s="97"/>
    </row>
    <row r="210" ht="15.75" customHeight="1">
      <c r="D210" s="97"/>
      <c r="G210" s="97"/>
    </row>
    <row r="211" ht="15.75" customHeight="1">
      <c r="D211" s="97"/>
      <c r="G211" s="97"/>
    </row>
    <row r="212" ht="15.75" customHeight="1">
      <c r="D212" s="97"/>
      <c r="G212" s="97"/>
    </row>
    <row r="213" ht="15.75" customHeight="1">
      <c r="D213" s="97"/>
      <c r="G213" s="97"/>
    </row>
    <row r="214" ht="15.75" customHeight="1">
      <c r="D214" s="97"/>
      <c r="G214" s="97"/>
    </row>
    <row r="215" ht="15.75" customHeight="1">
      <c r="D215" s="97"/>
      <c r="G215" s="97"/>
    </row>
    <row r="216" ht="15.75" customHeight="1">
      <c r="D216" s="97"/>
      <c r="G216" s="97"/>
    </row>
    <row r="217" ht="15.75" customHeight="1">
      <c r="D217" s="97"/>
      <c r="G217" s="97"/>
    </row>
    <row r="218" ht="15.75" customHeight="1">
      <c r="D218" s="97"/>
      <c r="G218" s="97"/>
    </row>
    <row r="219" ht="15.75" customHeight="1">
      <c r="D219" s="97"/>
      <c r="G219" s="97"/>
    </row>
    <row r="220" ht="15.75" customHeight="1">
      <c r="D220" s="97"/>
      <c r="G220" s="97"/>
    </row>
    <row r="221" ht="15.75" customHeight="1">
      <c r="D221" s="97"/>
      <c r="G221" s="97"/>
    </row>
    <row r="222" ht="15.75" customHeight="1">
      <c r="D222" s="97"/>
      <c r="G222" s="97"/>
    </row>
    <row r="223" ht="15.75" customHeight="1">
      <c r="D223" s="97"/>
      <c r="G223" s="97"/>
    </row>
    <row r="224" ht="15.75" customHeight="1">
      <c r="D224" s="97"/>
      <c r="G224" s="97"/>
    </row>
    <row r="225" ht="15.75" customHeight="1">
      <c r="D225" s="97"/>
      <c r="G225" s="97"/>
    </row>
    <row r="226" ht="15.75" customHeight="1">
      <c r="D226" s="97"/>
      <c r="G226" s="97"/>
    </row>
    <row r="227" ht="15.75" customHeight="1">
      <c r="D227" s="97"/>
      <c r="G227" s="97"/>
    </row>
    <row r="228" ht="15.75" customHeight="1">
      <c r="D228" s="97"/>
      <c r="G228" s="97"/>
    </row>
    <row r="229" ht="15.75" customHeight="1">
      <c r="D229" s="97"/>
      <c r="G229" s="97"/>
    </row>
    <row r="230" ht="15.75" customHeight="1">
      <c r="D230" s="97"/>
      <c r="G230" s="97"/>
    </row>
    <row r="231" ht="15.75" customHeight="1">
      <c r="D231" s="97"/>
      <c r="G231" s="97"/>
    </row>
    <row r="232" ht="15.75" customHeight="1">
      <c r="D232" s="97"/>
      <c r="G232" s="97"/>
    </row>
    <row r="233" ht="15.75" customHeight="1">
      <c r="D233" s="97"/>
      <c r="G233" s="97"/>
    </row>
    <row r="234" ht="15.75" customHeight="1">
      <c r="D234" s="97"/>
      <c r="G234" s="97"/>
    </row>
    <row r="235" ht="15.75" customHeight="1">
      <c r="D235" s="97"/>
      <c r="G235" s="97"/>
    </row>
    <row r="236" ht="15.75" customHeight="1">
      <c r="D236" s="97"/>
      <c r="G236" s="97"/>
    </row>
    <row r="237" ht="15.75" customHeight="1">
      <c r="D237" s="97"/>
      <c r="G237" s="97"/>
    </row>
    <row r="238" ht="15.75" customHeight="1">
      <c r="D238" s="97"/>
      <c r="G238" s="97"/>
    </row>
    <row r="239" ht="15.75" customHeight="1">
      <c r="D239" s="97"/>
      <c r="G239" s="97"/>
    </row>
    <row r="240" ht="15.75" customHeight="1">
      <c r="D240" s="97"/>
      <c r="G240" s="97"/>
    </row>
    <row r="241" ht="15.75" customHeight="1">
      <c r="D241" s="97"/>
      <c r="G241" s="97"/>
    </row>
    <row r="242" ht="15.75" customHeight="1">
      <c r="D242" s="97"/>
      <c r="G242" s="97"/>
    </row>
    <row r="243" ht="15.75" customHeight="1">
      <c r="D243" s="97"/>
      <c r="G243" s="97"/>
    </row>
    <row r="244" ht="15.75" customHeight="1">
      <c r="D244" s="97"/>
      <c r="G244" s="97"/>
    </row>
    <row r="245" ht="15.75" customHeight="1">
      <c r="D245" s="97"/>
      <c r="G245" s="97"/>
    </row>
    <row r="246" ht="15.75" customHeight="1">
      <c r="D246" s="97"/>
      <c r="G246" s="97"/>
    </row>
    <row r="247" ht="15.75" customHeight="1">
      <c r="D247" s="97"/>
      <c r="G247" s="97"/>
    </row>
    <row r="248" ht="15.75" customHeight="1">
      <c r="D248" s="97"/>
      <c r="G248" s="97"/>
    </row>
    <row r="249" ht="15.75" customHeight="1">
      <c r="D249" s="97"/>
      <c r="G249" s="97"/>
    </row>
    <row r="250" ht="15.75" customHeight="1">
      <c r="D250" s="97"/>
      <c r="G250" s="97"/>
    </row>
    <row r="251" ht="15.75" customHeight="1">
      <c r="D251" s="97"/>
      <c r="G251" s="97"/>
    </row>
    <row r="252" ht="15.75" customHeight="1">
      <c r="D252" s="97"/>
      <c r="G252" s="97"/>
    </row>
    <row r="253" ht="15.75" customHeight="1">
      <c r="D253" s="97"/>
      <c r="G253" s="97"/>
    </row>
    <row r="254" ht="15.75" customHeight="1">
      <c r="D254" s="97"/>
      <c r="G254" s="97"/>
    </row>
    <row r="255" ht="15.75" customHeight="1">
      <c r="D255" s="97"/>
      <c r="G255" s="97"/>
    </row>
    <row r="256" ht="15.75" customHeight="1">
      <c r="D256" s="97"/>
      <c r="G256" s="97"/>
    </row>
    <row r="257" ht="15.75" customHeight="1">
      <c r="D257" s="97"/>
      <c r="G257" s="97"/>
    </row>
    <row r="258" ht="15.75" customHeight="1">
      <c r="D258" s="97"/>
      <c r="G258" s="97"/>
    </row>
    <row r="259" ht="15.75" customHeight="1">
      <c r="D259" s="97"/>
      <c r="G259" s="97"/>
    </row>
    <row r="260" ht="15.75" customHeight="1">
      <c r="D260" s="97"/>
      <c r="G260" s="97"/>
    </row>
    <row r="261" ht="15.75" customHeight="1">
      <c r="D261" s="97"/>
      <c r="G261" s="97"/>
    </row>
    <row r="262" ht="15.75" customHeight="1">
      <c r="D262" s="97"/>
      <c r="G262" s="97"/>
    </row>
    <row r="263" ht="15.75" customHeight="1">
      <c r="D263" s="97"/>
      <c r="G263" s="97"/>
    </row>
    <row r="264" ht="15.75" customHeight="1">
      <c r="D264" s="97"/>
      <c r="G264" s="97"/>
    </row>
    <row r="265" ht="15.75" customHeight="1">
      <c r="D265" s="97"/>
      <c r="G265" s="97"/>
    </row>
    <row r="266" ht="15.75" customHeight="1">
      <c r="D266" s="97"/>
      <c r="G266" s="97"/>
    </row>
    <row r="267" ht="15.75" customHeight="1">
      <c r="D267" s="97"/>
      <c r="G267" s="97"/>
    </row>
    <row r="268" ht="15.75" customHeight="1">
      <c r="D268" s="97"/>
      <c r="G268" s="97"/>
    </row>
    <row r="269" ht="15.75" customHeight="1">
      <c r="D269" s="97"/>
      <c r="G269" s="97"/>
    </row>
    <row r="270" ht="15.75" customHeight="1">
      <c r="D270" s="97"/>
      <c r="G270" s="97"/>
    </row>
    <row r="271" ht="15.75" customHeight="1">
      <c r="D271" s="97"/>
      <c r="G271" s="97"/>
    </row>
    <row r="272" ht="15.75" customHeight="1">
      <c r="D272" s="97"/>
      <c r="G272" s="97"/>
    </row>
    <row r="273" ht="15.75" customHeight="1">
      <c r="D273" s="97"/>
      <c r="G273" s="97"/>
    </row>
    <row r="274" ht="15.75" customHeight="1">
      <c r="D274" s="97"/>
      <c r="G274" s="97"/>
    </row>
    <row r="275" ht="15.75" customHeight="1">
      <c r="D275" s="97"/>
      <c r="G275" s="97"/>
    </row>
    <row r="276" ht="15.75" customHeight="1">
      <c r="D276" s="97"/>
      <c r="G276" s="97"/>
    </row>
    <row r="277" ht="15.75" customHeight="1">
      <c r="D277" s="97"/>
      <c r="G277" s="97"/>
    </row>
    <row r="278" ht="15.75" customHeight="1">
      <c r="D278" s="97"/>
      <c r="G278" s="97"/>
    </row>
    <row r="279" ht="15.75" customHeight="1">
      <c r="D279" s="97"/>
      <c r="G279" s="97"/>
    </row>
    <row r="280" ht="15.75" customHeight="1">
      <c r="D280" s="97"/>
      <c r="G280" s="97"/>
    </row>
    <row r="281" ht="15.75" customHeight="1">
      <c r="D281" s="97"/>
      <c r="G281" s="97"/>
    </row>
    <row r="282" ht="15.75" customHeight="1">
      <c r="D282" s="97"/>
      <c r="G282" s="97"/>
    </row>
    <row r="283" ht="15.75" customHeight="1">
      <c r="D283" s="97"/>
      <c r="G283" s="97"/>
    </row>
    <row r="284" ht="15.75" customHeight="1">
      <c r="D284" s="97"/>
      <c r="G284" s="97"/>
    </row>
    <row r="285" ht="15.75" customHeight="1">
      <c r="D285" s="97"/>
      <c r="G285" s="97"/>
    </row>
    <row r="286" ht="15.75" customHeight="1">
      <c r="D286" s="97"/>
      <c r="G286" s="97"/>
    </row>
    <row r="287" ht="15.75" customHeight="1">
      <c r="D287" s="97"/>
      <c r="G287" s="97"/>
    </row>
    <row r="288" ht="15.75" customHeight="1">
      <c r="D288" s="97"/>
      <c r="G288" s="97"/>
    </row>
    <row r="289" ht="15.75" customHeight="1">
      <c r="D289" s="97"/>
      <c r="G289" s="97"/>
    </row>
    <row r="290" ht="15.75" customHeight="1">
      <c r="D290" s="97"/>
      <c r="G290" s="97"/>
    </row>
    <row r="291" ht="15.75" customHeight="1">
      <c r="D291" s="97"/>
      <c r="G291" s="97"/>
    </row>
    <row r="292" ht="15.75" customHeight="1">
      <c r="D292" s="97"/>
      <c r="G292" s="97"/>
    </row>
    <row r="293" ht="15.75" customHeight="1">
      <c r="D293" s="97"/>
      <c r="G293" s="97"/>
    </row>
    <row r="294" ht="15.75" customHeight="1">
      <c r="D294" s="97"/>
      <c r="G294" s="97"/>
    </row>
    <row r="295" ht="15.75" customHeight="1">
      <c r="D295" s="97"/>
      <c r="G295" s="97"/>
    </row>
    <row r="296" ht="15.75" customHeight="1">
      <c r="D296" s="97"/>
      <c r="G296" s="97"/>
    </row>
    <row r="297" ht="15.75" customHeight="1">
      <c r="D297" s="97"/>
      <c r="G297" s="97"/>
    </row>
    <row r="298" ht="15.75" customHeight="1">
      <c r="D298" s="97"/>
      <c r="G298" s="97"/>
    </row>
    <row r="299" ht="15.75" customHeight="1">
      <c r="D299" s="97"/>
      <c r="G299" s="97"/>
    </row>
    <row r="300" ht="15.75" customHeight="1">
      <c r="D300" s="97"/>
      <c r="G300" s="97"/>
    </row>
    <row r="301" ht="15.75" customHeight="1">
      <c r="D301" s="97"/>
      <c r="G301" s="97"/>
    </row>
    <row r="302" ht="15.75" customHeight="1">
      <c r="D302" s="97"/>
      <c r="G302" s="97"/>
    </row>
    <row r="303" ht="15.75" customHeight="1">
      <c r="D303" s="97"/>
      <c r="G303" s="97"/>
    </row>
    <row r="304" ht="15.75" customHeight="1">
      <c r="D304" s="97"/>
      <c r="G304" s="97"/>
    </row>
    <row r="305" ht="15.75" customHeight="1">
      <c r="D305" s="97"/>
      <c r="G305" s="97"/>
    </row>
    <row r="306" ht="15.75" customHeight="1">
      <c r="D306" s="97"/>
      <c r="G306" s="97"/>
    </row>
    <row r="307" ht="15.75" customHeight="1">
      <c r="D307" s="97"/>
      <c r="G307" s="97"/>
    </row>
    <row r="308" ht="15.75" customHeight="1">
      <c r="D308" s="97"/>
      <c r="G308" s="97"/>
    </row>
    <row r="309" ht="15.75" customHeight="1">
      <c r="D309" s="97"/>
      <c r="G309" s="97"/>
    </row>
    <row r="310" ht="15.75" customHeight="1">
      <c r="D310" s="97"/>
      <c r="G310" s="97"/>
    </row>
    <row r="311" ht="15.75" customHeight="1">
      <c r="D311" s="97"/>
      <c r="G311" s="97"/>
    </row>
    <row r="312" ht="15.75" customHeight="1">
      <c r="D312" s="97"/>
      <c r="G312" s="97"/>
    </row>
    <row r="313" ht="15.75" customHeight="1">
      <c r="D313" s="97"/>
      <c r="G313" s="97"/>
    </row>
    <row r="314" ht="15.75" customHeight="1">
      <c r="D314" s="97"/>
      <c r="G314" s="97"/>
    </row>
    <row r="315" ht="15.75" customHeight="1">
      <c r="D315" s="97"/>
      <c r="G315" s="97"/>
    </row>
    <row r="316" ht="15.75" customHeight="1">
      <c r="D316" s="97"/>
      <c r="G316" s="97"/>
    </row>
    <row r="317" ht="15.75" customHeight="1">
      <c r="D317" s="97"/>
      <c r="G317" s="97"/>
    </row>
    <row r="318" ht="15.75" customHeight="1">
      <c r="D318" s="97"/>
      <c r="G318" s="97"/>
    </row>
    <row r="319" ht="15.75" customHeight="1">
      <c r="D319" s="97"/>
      <c r="G319" s="97"/>
    </row>
    <row r="320" ht="15.75" customHeight="1">
      <c r="D320" s="97"/>
      <c r="G320" s="97"/>
    </row>
    <row r="321" ht="15.75" customHeight="1">
      <c r="D321" s="97"/>
      <c r="G321" s="97"/>
    </row>
    <row r="322" ht="15.75" customHeight="1">
      <c r="D322" s="97"/>
      <c r="G322" s="97"/>
    </row>
    <row r="323" ht="15.75" customHeight="1">
      <c r="D323" s="97"/>
      <c r="G323" s="97"/>
    </row>
    <row r="324" ht="15.75" customHeight="1">
      <c r="D324" s="97"/>
      <c r="G324" s="97"/>
    </row>
    <row r="325" ht="15.75" customHeight="1">
      <c r="D325" s="97"/>
      <c r="G325" s="97"/>
    </row>
    <row r="326" ht="15.75" customHeight="1">
      <c r="D326" s="97"/>
      <c r="G326" s="97"/>
    </row>
    <row r="327" ht="15.75" customHeight="1">
      <c r="D327" s="97"/>
      <c r="G327" s="97"/>
    </row>
    <row r="328" ht="15.75" customHeight="1">
      <c r="D328" s="97"/>
      <c r="G328" s="97"/>
    </row>
    <row r="329" ht="15.75" customHeight="1">
      <c r="D329" s="97"/>
      <c r="G329" s="97"/>
    </row>
    <row r="330" ht="15.75" customHeight="1">
      <c r="D330" s="97"/>
      <c r="G330" s="97"/>
    </row>
    <row r="331" ht="15.75" customHeight="1">
      <c r="D331" s="97"/>
      <c r="G331" s="97"/>
    </row>
    <row r="332" ht="15.75" customHeight="1">
      <c r="D332" s="97"/>
      <c r="G332" s="97"/>
    </row>
    <row r="333" ht="15.75" customHeight="1">
      <c r="D333" s="97"/>
      <c r="G333" s="97"/>
    </row>
    <row r="334" ht="15.75" customHeight="1">
      <c r="D334" s="97"/>
      <c r="G334" s="97"/>
    </row>
    <row r="335" ht="15.75" customHeight="1">
      <c r="D335" s="97"/>
      <c r="G335" s="97"/>
    </row>
    <row r="336" ht="15.75" customHeight="1">
      <c r="D336" s="97"/>
      <c r="G336" s="97"/>
    </row>
    <row r="337" ht="15.75" customHeight="1">
      <c r="D337" s="97"/>
      <c r="G337" s="97"/>
    </row>
    <row r="338" ht="15.75" customHeight="1">
      <c r="D338" s="97"/>
      <c r="G338" s="97"/>
    </row>
    <row r="339" ht="15.75" customHeight="1">
      <c r="D339" s="97"/>
      <c r="G339" s="97"/>
    </row>
    <row r="340" ht="15.75" customHeight="1">
      <c r="D340" s="97"/>
      <c r="G340" s="97"/>
    </row>
    <row r="341" ht="15.75" customHeight="1">
      <c r="D341" s="97"/>
      <c r="G341" s="97"/>
    </row>
    <row r="342" ht="15.75" customHeight="1">
      <c r="D342" s="97"/>
      <c r="G342" s="97"/>
    </row>
    <row r="343" ht="15.75" customHeight="1">
      <c r="D343" s="97"/>
      <c r="G343" s="97"/>
    </row>
    <row r="344" ht="15.75" customHeight="1">
      <c r="D344" s="97"/>
      <c r="G344" s="97"/>
    </row>
    <row r="345" ht="15.75" customHeight="1">
      <c r="D345" s="97"/>
      <c r="G345" s="97"/>
    </row>
    <row r="346" ht="15.75" customHeight="1">
      <c r="D346" s="97"/>
      <c r="G346" s="97"/>
    </row>
    <row r="347" ht="15.75" customHeight="1">
      <c r="D347" s="97"/>
      <c r="G347" s="97"/>
    </row>
    <row r="348" ht="15.75" customHeight="1">
      <c r="D348" s="97"/>
      <c r="G348" s="97"/>
    </row>
    <row r="349" ht="15.75" customHeight="1">
      <c r="D349" s="97"/>
      <c r="G349" s="97"/>
    </row>
    <row r="350" ht="15.75" customHeight="1">
      <c r="D350" s="97"/>
      <c r="G350" s="97"/>
    </row>
    <row r="351" ht="15.75" customHeight="1">
      <c r="D351" s="97"/>
      <c r="G351" s="97"/>
    </row>
    <row r="352" ht="15.75" customHeight="1">
      <c r="D352" s="97"/>
      <c r="G352" s="97"/>
    </row>
    <row r="353" ht="15.75" customHeight="1">
      <c r="D353" s="97"/>
      <c r="G353" s="97"/>
    </row>
    <row r="354" ht="15.75" customHeight="1">
      <c r="D354" s="97"/>
      <c r="G354" s="97"/>
    </row>
    <row r="355" ht="15.75" customHeight="1">
      <c r="D355" s="97"/>
      <c r="G355" s="97"/>
    </row>
    <row r="356" ht="15.75" customHeight="1">
      <c r="D356" s="97"/>
      <c r="G356" s="97"/>
    </row>
    <row r="357" ht="15.75" customHeight="1">
      <c r="D357" s="97"/>
      <c r="G357" s="97"/>
    </row>
    <row r="358" ht="15.75" customHeight="1">
      <c r="D358" s="97"/>
      <c r="G358" s="97"/>
    </row>
    <row r="359" ht="15.75" customHeight="1">
      <c r="D359" s="97"/>
      <c r="G359" s="97"/>
    </row>
    <row r="360" ht="15.75" customHeight="1">
      <c r="D360" s="97"/>
      <c r="G360" s="97"/>
    </row>
    <row r="361" ht="15.75" customHeight="1">
      <c r="D361" s="97"/>
      <c r="G361" s="97"/>
    </row>
    <row r="362" ht="15.75" customHeight="1">
      <c r="D362" s="97"/>
      <c r="G362" s="97"/>
    </row>
    <row r="363" ht="15.75" customHeight="1">
      <c r="D363" s="97"/>
      <c r="G363" s="97"/>
    </row>
    <row r="364" ht="15.75" customHeight="1">
      <c r="D364" s="97"/>
      <c r="G364" s="97"/>
    </row>
    <row r="365" ht="15.75" customHeight="1">
      <c r="D365" s="97"/>
      <c r="G365" s="97"/>
    </row>
    <row r="366" ht="15.75" customHeight="1">
      <c r="D366" s="97"/>
      <c r="G366" s="97"/>
    </row>
    <row r="367" ht="15.75" customHeight="1">
      <c r="D367" s="97"/>
      <c r="G367" s="97"/>
    </row>
    <row r="368" ht="15.75" customHeight="1">
      <c r="D368" s="97"/>
      <c r="G368" s="97"/>
    </row>
    <row r="369" ht="15.75" customHeight="1">
      <c r="D369" s="97"/>
      <c r="G369" s="97"/>
    </row>
    <row r="370" ht="15.75" customHeight="1">
      <c r="D370" s="97"/>
      <c r="G370" s="97"/>
    </row>
    <row r="371" ht="15.75" customHeight="1">
      <c r="D371" s="97"/>
      <c r="G371" s="97"/>
    </row>
    <row r="372" ht="15.75" customHeight="1">
      <c r="D372" s="97"/>
      <c r="G372" s="97"/>
    </row>
    <row r="373" ht="15.75" customHeight="1">
      <c r="D373" s="97"/>
      <c r="G373" s="97"/>
    </row>
    <row r="374" ht="15.75" customHeight="1">
      <c r="D374" s="97"/>
      <c r="G374" s="97"/>
    </row>
    <row r="375" ht="15.75" customHeight="1">
      <c r="D375" s="97"/>
      <c r="G375" s="97"/>
    </row>
    <row r="376" ht="15.75" customHeight="1">
      <c r="D376" s="97"/>
      <c r="G376" s="97"/>
    </row>
    <row r="377" ht="15.75" customHeight="1">
      <c r="D377" s="97"/>
      <c r="G377" s="97"/>
    </row>
    <row r="378" ht="15.75" customHeight="1">
      <c r="D378" s="97"/>
      <c r="G378" s="97"/>
    </row>
    <row r="379" ht="15.75" customHeight="1">
      <c r="D379" s="97"/>
      <c r="G379" s="97"/>
    </row>
    <row r="380" ht="15.75" customHeight="1">
      <c r="D380" s="97"/>
      <c r="G380" s="97"/>
    </row>
    <row r="381" ht="15.75" customHeight="1">
      <c r="D381" s="97"/>
      <c r="G381" s="97"/>
    </row>
    <row r="382" ht="15.75" customHeight="1">
      <c r="D382" s="97"/>
      <c r="G382" s="97"/>
    </row>
    <row r="383" ht="15.75" customHeight="1">
      <c r="D383" s="97"/>
      <c r="G383" s="97"/>
    </row>
    <row r="384" ht="15.75" customHeight="1">
      <c r="D384" s="97"/>
      <c r="G384" s="97"/>
    </row>
    <row r="385" ht="15.75" customHeight="1">
      <c r="D385" s="97"/>
      <c r="G385" s="97"/>
    </row>
    <row r="386" ht="15.75" customHeight="1">
      <c r="D386" s="97"/>
      <c r="G386" s="97"/>
    </row>
    <row r="387" ht="15.75" customHeight="1">
      <c r="D387" s="97"/>
      <c r="G387" s="97"/>
    </row>
    <row r="388" ht="15.75" customHeight="1">
      <c r="D388" s="97"/>
      <c r="G388" s="97"/>
    </row>
    <row r="389" ht="15.75" customHeight="1">
      <c r="D389" s="97"/>
      <c r="G389" s="97"/>
    </row>
    <row r="390" ht="15.75" customHeight="1">
      <c r="D390" s="97"/>
      <c r="G390" s="97"/>
    </row>
    <row r="391" ht="15.75" customHeight="1">
      <c r="D391" s="97"/>
      <c r="G391" s="97"/>
    </row>
    <row r="392" ht="15.75" customHeight="1">
      <c r="D392" s="97"/>
      <c r="G392" s="97"/>
    </row>
    <row r="393" ht="15.75" customHeight="1">
      <c r="D393" s="97"/>
      <c r="G393" s="97"/>
    </row>
    <row r="394" ht="15.75" customHeight="1">
      <c r="D394" s="97"/>
      <c r="G394" s="97"/>
    </row>
    <row r="395" ht="15.75" customHeight="1">
      <c r="D395" s="97"/>
      <c r="G395" s="97"/>
    </row>
    <row r="396" ht="15.75" customHeight="1">
      <c r="D396" s="97"/>
      <c r="G396" s="97"/>
    </row>
    <row r="397" ht="15.75" customHeight="1">
      <c r="D397" s="97"/>
      <c r="G397" s="97"/>
    </row>
    <row r="398" ht="15.75" customHeight="1">
      <c r="D398" s="97"/>
      <c r="G398" s="97"/>
    </row>
    <row r="399" ht="15.75" customHeight="1">
      <c r="D399" s="97"/>
      <c r="G399" s="97"/>
    </row>
    <row r="400" ht="15.75" customHeight="1">
      <c r="D400" s="97"/>
      <c r="G400" s="97"/>
    </row>
    <row r="401" ht="15.75" customHeight="1">
      <c r="D401" s="97"/>
      <c r="G401" s="97"/>
    </row>
    <row r="402" ht="15.75" customHeight="1">
      <c r="D402" s="97"/>
      <c r="G402" s="97"/>
    </row>
    <row r="403" ht="15.75" customHeight="1">
      <c r="D403" s="97"/>
      <c r="G403" s="97"/>
    </row>
    <row r="404" ht="15.75" customHeight="1">
      <c r="D404" s="97"/>
      <c r="G404" s="97"/>
    </row>
    <row r="405" ht="15.75" customHeight="1">
      <c r="D405" s="97"/>
      <c r="G405" s="97"/>
    </row>
    <row r="406" ht="15.75" customHeight="1">
      <c r="D406" s="97"/>
      <c r="G406" s="97"/>
    </row>
    <row r="407" ht="15.75" customHeight="1">
      <c r="D407" s="97"/>
      <c r="G407" s="97"/>
    </row>
    <row r="408" ht="15.75" customHeight="1">
      <c r="D408" s="97"/>
      <c r="G408" s="97"/>
    </row>
    <row r="409" ht="15.75" customHeight="1">
      <c r="D409" s="97"/>
      <c r="G409" s="97"/>
    </row>
    <row r="410" ht="15.75" customHeight="1">
      <c r="D410" s="97"/>
      <c r="G410" s="97"/>
    </row>
    <row r="411" ht="15.75" customHeight="1">
      <c r="D411" s="97"/>
      <c r="G411" s="97"/>
    </row>
    <row r="412" ht="15.75" customHeight="1">
      <c r="D412" s="97"/>
      <c r="G412" s="97"/>
    </row>
    <row r="413" ht="15.75" customHeight="1">
      <c r="D413" s="97"/>
      <c r="G413" s="97"/>
    </row>
    <row r="414" ht="15.75" customHeight="1">
      <c r="D414" s="97"/>
      <c r="G414" s="97"/>
    </row>
    <row r="415" ht="15.75" customHeight="1">
      <c r="D415" s="97"/>
      <c r="G415" s="97"/>
    </row>
    <row r="416" ht="15.75" customHeight="1">
      <c r="D416" s="97"/>
      <c r="G416" s="97"/>
    </row>
    <row r="417" ht="15.75" customHeight="1">
      <c r="D417" s="97"/>
      <c r="G417" s="97"/>
    </row>
    <row r="418" ht="15.75" customHeight="1">
      <c r="D418" s="97"/>
      <c r="G418" s="97"/>
    </row>
    <row r="419" ht="15.75" customHeight="1">
      <c r="D419" s="97"/>
      <c r="G419" s="97"/>
    </row>
    <row r="420" ht="15.75" customHeight="1">
      <c r="D420" s="97"/>
      <c r="G420" s="97"/>
    </row>
    <row r="421" ht="15.75" customHeight="1">
      <c r="D421" s="97"/>
      <c r="G421" s="97"/>
    </row>
    <row r="422" ht="15.75" customHeight="1">
      <c r="D422" s="97"/>
      <c r="G422" s="97"/>
    </row>
    <row r="423" ht="15.75" customHeight="1">
      <c r="D423" s="97"/>
      <c r="G423" s="97"/>
    </row>
    <row r="424" ht="15.75" customHeight="1">
      <c r="D424" s="97"/>
      <c r="G424" s="97"/>
    </row>
    <row r="425" ht="15.75" customHeight="1">
      <c r="D425" s="97"/>
      <c r="G425" s="97"/>
    </row>
    <row r="426" ht="15.75" customHeight="1">
      <c r="D426" s="97"/>
      <c r="G426" s="97"/>
    </row>
    <row r="427" ht="15.75" customHeight="1">
      <c r="D427" s="97"/>
      <c r="G427" s="97"/>
    </row>
    <row r="428" ht="15.75" customHeight="1">
      <c r="D428" s="97"/>
      <c r="G428" s="97"/>
    </row>
    <row r="429" ht="15.75" customHeight="1">
      <c r="D429" s="97"/>
      <c r="G429" s="97"/>
    </row>
    <row r="430" ht="15.75" customHeight="1">
      <c r="D430" s="97"/>
      <c r="G430" s="97"/>
    </row>
    <row r="431" ht="15.75" customHeight="1">
      <c r="D431" s="97"/>
      <c r="G431" s="97"/>
    </row>
    <row r="432" ht="15.75" customHeight="1">
      <c r="D432" s="97"/>
      <c r="G432" s="97"/>
    </row>
    <row r="433" ht="15.75" customHeight="1">
      <c r="D433" s="97"/>
      <c r="G433" s="97"/>
    </row>
    <row r="434" ht="15.75" customHeight="1">
      <c r="D434" s="97"/>
      <c r="G434" s="97"/>
    </row>
    <row r="435" ht="15.75" customHeight="1">
      <c r="D435" s="97"/>
      <c r="G435" s="97"/>
    </row>
    <row r="436" ht="15.75" customHeight="1">
      <c r="D436" s="97"/>
      <c r="G436" s="97"/>
    </row>
    <row r="437" ht="15.75" customHeight="1">
      <c r="D437" s="97"/>
      <c r="G437" s="97"/>
    </row>
    <row r="438" ht="15.75" customHeight="1">
      <c r="D438" s="97"/>
      <c r="G438" s="97"/>
    </row>
    <row r="439" ht="15.75" customHeight="1">
      <c r="D439" s="97"/>
      <c r="G439" s="97"/>
    </row>
    <row r="440" ht="15.75" customHeight="1">
      <c r="D440" s="97"/>
      <c r="G440" s="97"/>
    </row>
    <row r="441" ht="15.75" customHeight="1">
      <c r="D441" s="97"/>
      <c r="G441" s="97"/>
    </row>
    <row r="442" ht="15.75" customHeight="1">
      <c r="D442" s="97"/>
      <c r="G442" s="97"/>
    </row>
    <row r="443" ht="15.75" customHeight="1">
      <c r="D443" s="97"/>
      <c r="G443" s="97"/>
    </row>
    <row r="444" ht="15.75" customHeight="1">
      <c r="D444" s="97"/>
      <c r="G444" s="97"/>
    </row>
    <row r="445" ht="15.75" customHeight="1">
      <c r="D445" s="97"/>
      <c r="G445" s="97"/>
    </row>
    <row r="446" ht="15.75" customHeight="1">
      <c r="D446" s="97"/>
      <c r="G446" s="97"/>
    </row>
    <row r="447" ht="15.75" customHeight="1">
      <c r="D447" s="97"/>
      <c r="G447" s="97"/>
    </row>
    <row r="448" ht="15.75" customHeight="1">
      <c r="D448" s="97"/>
      <c r="G448" s="97"/>
    </row>
    <row r="449" ht="15.75" customHeight="1">
      <c r="D449" s="97"/>
      <c r="G449" s="97"/>
    </row>
    <row r="450" ht="15.75" customHeight="1">
      <c r="D450" s="97"/>
      <c r="G450" s="97"/>
    </row>
    <row r="451" ht="15.75" customHeight="1">
      <c r="D451" s="97"/>
      <c r="G451" s="97"/>
    </row>
    <row r="452" ht="15.75" customHeight="1">
      <c r="D452" s="97"/>
      <c r="G452" s="97"/>
    </row>
    <row r="453" ht="15.75" customHeight="1">
      <c r="D453" s="97"/>
      <c r="G453" s="97"/>
    </row>
    <row r="454" ht="15.75" customHeight="1">
      <c r="D454" s="97"/>
      <c r="G454" s="97"/>
    </row>
    <row r="455" ht="15.75" customHeight="1">
      <c r="D455" s="97"/>
      <c r="G455" s="97"/>
    </row>
    <row r="456" ht="15.75" customHeight="1">
      <c r="D456" s="97"/>
      <c r="G456" s="97"/>
    </row>
    <row r="457" ht="15.75" customHeight="1">
      <c r="D457" s="97"/>
      <c r="G457" s="97"/>
    </row>
    <row r="458" ht="15.75" customHeight="1">
      <c r="D458" s="97"/>
      <c r="G458" s="97"/>
    </row>
    <row r="459" ht="15.75" customHeight="1">
      <c r="D459" s="97"/>
      <c r="G459" s="97"/>
    </row>
    <row r="460" ht="15.75" customHeight="1">
      <c r="D460" s="97"/>
      <c r="G460" s="97"/>
    </row>
    <row r="461" ht="15.75" customHeight="1">
      <c r="D461" s="97"/>
      <c r="G461" s="97"/>
    </row>
    <row r="462" ht="15.75" customHeight="1">
      <c r="D462" s="97"/>
      <c r="G462" s="97"/>
    </row>
    <row r="463" ht="15.75" customHeight="1">
      <c r="D463" s="97"/>
      <c r="G463" s="97"/>
    </row>
    <row r="464" ht="15.75" customHeight="1">
      <c r="D464" s="97"/>
      <c r="G464" s="97"/>
    </row>
    <row r="465" ht="15.75" customHeight="1">
      <c r="D465" s="97"/>
      <c r="G465" s="97"/>
    </row>
    <row r="466" ht="15.75" customHeight="1">
      <c r="D466" s="97"/>
      <c r="G466" s="97"/>
    </row>
    <row r="467" ht="15.75" customHeight="1">
      <c r="D467" s="97"/>
      <c r="G467" s="97"/>
    </row>
    <row r="468" ht="15.75" customHeight="1">
      <c r="D468" s="97"/>
      <c r="G468" s="97"/>
    </row>
    <row r="469" ht="15.75" customHeight="1">
      <c r="D469" s="97"/>
      <c r="G469" s="97"/>
    </row>
    <row r="470" ht="15.75" customHeight="1">
      <c r="D470" s="97"/>
      <c r="G470" s="97"/>
    </row>
    <row r="471" ht="15.75" customHeight="1">
      <c r="D471" s="97"/>
      <c r="G471" s="97"/>
    </row>
    <row r="472" ht="15.75" customHeight="1">
      <c r="D472" s="97"/>
      <c r="G472" s="97"/>
    </row>
    <row r="473" ht="15.75" customHeight="1">
      <c r="D473" s="97"/>
      <c r="G473" s="97"/>
    </row>
    <row r="474" ht="15.75" customHeight="1">
      <c r="D474" s="97"/>
      <c r="G474" s="97"/>
    </row>
    <row r="475" ht="15.75" customHeight="1">
      <c r="D475" s="97"/>
      <c r="G475" s="97"/>
    </row>
    <row r="476" ht="15.75" customHeight="1">
      <c r="D476" s="97"/>
      <c r="G476" s="97"/>
    </row>
    <row r="477" ht="15.75" customHeight="1">
      <c r="D477" s="97"/>
      <c r="G477" s="97"/>
    </row>
    <row r="478" ht="15.75" customHeight="1">
      <c r="D478" s="97"/>
      <c r="G478" s="97"/>
    </row>
    <row r="479" ht="15.75" customHeight="1">
      <c r="D479" s="97"/>
      <c r="G479" s="97"/>
    </row>
    <row r="480" ht="15.75" customHeight="1">
      <c r="D480" s="97"/>
      <c r="G480" s="97"/>
    </row>
    <row r="481" ht="15.75" customHeight="1">
      <c r="D481" s="97"/>
      <c r="G481" s="97"/>
    </row>
    <row r="482" ht="15.75" customHeight="1">
      <c r="D482" s="97"/>
      <c r="G482" s="97"/>
    </row>
    <row r="483" ht="15.75" customHeight="1">
      <c r="D483" s="97"/>
      <c r="G483" s="97"/>
    </row>
    <row r="484" ht="15.75" customHeight="1">
      <c r="D484" s="97"/>
      <c r="G484" s="97"/>
    </row>
    <row r="485" ht="15.75" customHeight="1">
      <c r="D485" s="97"/>
      <c r="G485" s="97"/>
    </row>
    <row r="486" ht="15.75" customHeight="1">
      <c r="D486" s="97"/>
      <c r="G486" s="97"/>
    </row>
    <row r="487" ht="15.75" customHeight="1">
      <c r="D487" s="97"/>
      <c r="G487" s="97"/>
    </row>
    <row r="488" ht="15.75" customHeight="1">
      <c r="D488" s="97"/>
      <c r="G488" s="97"/>
    </row>
    <row r="489" ht="15.75" customHeight="1">
      <c r="D489" s="97"/>
      <c r="G489" s="97"/>
    </row>
    <row r="490" ht="15.75" customHeight="1">
      <c r="D490" s="97"/>
      <c r="G490" s="97"/>
    </row>
    <row r="491" ht="15.75" customHeight="1">
      <c r="D491" s="97"/>
      <c r="G491" s="97"/>
    </row>
    <row r="492" ht="15.75" customHeight="1">
      <c r="D492" s="97"/>
      <c r="G492" s="97"/>
    </row>
    <row r="493" ht="15.75" customHeight="1">
      <c r="D493" s="97"/>
      <c r="G493" s="97"/>
    </row>
    <row r="494" ht="15.75" customHeight="1">
      <c r="D494" s="97"/>
      <c r="G494" s="97"/>
    </row>
    <row r="495" ht="15.75" customHeight="1">
      <c r="D495" s="97"/>
      <c r="G495" s="97"/>
    </row>
    <row r="496" ht="15.75" customHeight="1">
      <c r="D496" s="97"/>
      <c r="G496" s="97"/>
    </row>
    <row r="497" ht="15.75" customHeight="1">
      <c r="D497" s="97"/>
      <c r="G497" s="97"/>
    </row>
    <row r="498" ht="15.75" customHeight="1">
      <c r="D498" s="97"/>
      <c r="G498" s="97"/>
    </row>
    <row r="499" ht="15.75" customHeight="1">
      <c r="D499" s="97"/>
      <c r="G499" s="97"/>
    </row>
    <row r="500" ht="15.75" customHeight="1">
      <c r="D500" s="97"/>
      <c r="G500" s="97"/>
    </row>
    <row r="501" ht="15.75" customHeight="1">
      <c r="D501" s="97"/>
      <c r="G501" s="97"/>
    </row>
    <row r="502" ht="15.75" customHeight="1">
      <c r="D502" s="97"/>
      <c r="G502" s="97"/>
    </row>
    <row r="503" ht="15.75" customHeight="1">
      <c r="D503" s="97"/>
      <c r="G503" s="97"/>
    </row>
    <row r="504" ht="15.75" customHeight="1">
      <c r="D504" s="97"/>
      <c r="G504" s="97"/>
    </row>
    <row r="505" ht="15.75" customHeight="1">
      <c r="D505" s="97"/>
      <c r="G505" s="97"/>
    </row>
    <row r="506" ht="15.75" customHeight="1">
      <c r="D506" s="97"/>
      <c r="G506" s="97"/>
    </row>
    <row r="507" ht="15.75" customHeight="1">
      <c r="D507" s="97"/>
      <c r="G507" s="97"/>
    </row>
    <row r="508" ht="15.75" customHeight="1">
      <c r="D508" s="97"/>
      <c r="G508" s="97"/>
    </row>
    <row r="509" ht="15.75" customHeight="1">
      <c r="D509" s="97"/>
      <c r="G509" s="97"/>
    </row>
    <row r="510" ht="15.75" customHeight="1">
      <c r="D510" s="97"/>
      <c r="G510" s="97"/>
    </row>
    <row r="511" ht="15.75" customHeight="1">
      <c r="D511" s="97"/>
      <c r="G511" s="97"/>
    </row>
    <row r="512" ht="15.75" customHeight="1">
      <c r="D512" s="97"/>
      <c r="G512" s="97"/>
    </row>
    <row r="513" ht="15.75" customHeight="1">
      <c r="D513" s="97"/>
      <c r="G513" s="97"/>
    </row>
    <row r="514" ht="15.75" customHeight="1">
      <c r="D514" s="97"/>
      <c r="G514" s="97"/>
    </row>
    <row r="515" ht="15.75" customHeight="1">
      <c r="D515" s="97"/>
      <c r="G515" s="97"/>
    </row>
    <row r="516" ht="15.75" customHeight="1">
      <c r="D516" s="97"/>
      <c r="G516" s="97"/>
    </row>
    <row r="517" ht="15.75" customHeight="1">
      <c r="D517" s="97"/>
      <c r="G517" s="97"/>
    </row>
    <row r="518" ht="15.75" customHeight="1">
      <c r="D518" s="97"/>
      <c r="G518" s="97"/>
    </row>
    <row r="519" ht="15.75" customHeight="1">
      <c r="D519" s="97"/>
      <c r="G519" s="97"/>
    </row>
    <row r="520" ht="15.75" customHeight="1">
      <c r="D520" s="97"/>
      <c r="G520" s="97"/>
    </row>
    <row r="521" ht="15.75" customHeight="1">
      <c r="D521" s="97"/>
      <c r="G521" s="97"/>
    </row>
    <row r="522" ht="15.75" customHeight="1">
      <c r="D522" s="97"/>
      <c r="G522" s="97"/>
    </row>
    <row r="523" ht="15.75" customHeight="1">
      <c r="D523" s="97"/>
      <c r="G523" s="97"/>
    </row>
    <row r="524" ht="15.75" customHeight="1">
      <c r="D524" s="97"/>
      <c r="G524" s="97"/>
    </row>
    <row r="525" ht="15.75" customHeight="1">
      <c r="D525" s="97"/>
      <c r="G525" s="97"/>
    </row>
    <row r="526" ht="15.75" customHeight="1">
      <c r="D526" s="97"/>
      <c r="G526" s="97"/>
    </row>
    <row r="527" ht="15.75" customHeight="1">
      <c r="D527" s="97"/>
      <c r="G527" s="97"/>
    </row>
    <row r="528" ht="15.75" customHeight="1">
      <c r="D528" s="97"/>
      <c r="G528" s="97"/>
    </row>
    <row r="529" ht="15.75" customHeight="1">
      <c r="D529" s="97"/>
      <c r="G529" s="97"/>
    </row>
    <row r="530" ht="15.75" customHeight="1">
      <c r="D530" s="97"/>
      <c r="G530" s="97"/>
    </row>
    <row r="531" ht="15.75" customHeight="1">
      <c r="D531" s="97"/>
      <c r="G531" s="97"/>
    </row>
    <row r="532" ht="15.75" customHeight="1">
      <c r="D532" s="97"/>
      <c r="G532" s="97"/>
    </row>
    <row r="533" ht="15.75" customHeight="1">
      <c r="D533" s="97"/>
      <c r="G533" s="97"/>
    </row>
    <row r="534" ht="15.75" customHeight="1">
      <c r="D534" s="97"/>
      <c r="G534" s="97"/>
    </row>
    <row r="535" ht="15.75" customHeight="1">
      <c r="D535" s="97"/>
      <c r="G535" s="97"/>
    </row>
    <row r="536" ht="15.75" customHeight="1">
      <c r="D536" s="97"/>
      <c r="G536" s="97"/>
    </row>
    <row r="537" ht="15.75" customHeight="1">
      <c r="D537" s="97"/>
      <c r="G537" s="97"/>
    </row>
    <row r="538" ht="15.75" customHeight="1">
      <c r="D538" s="97"/>
      <c r="G538" s="97"/>
    </row>
    <row r="539" ht="15.75" customHeight="1">
      <c r="D539" s="97"/>
      <c r="G539" s="97"/>
    </row>
    <row r="540" ht="15.75" customHeight="1">
      <c r="D540" s="97"/>
      <c r="G540" s="97"/>
    </row>
    <row r="541" ht="15.75" customHeight="1">
      <c r="D541" s="97"/>
      <c r="G541" s="97"/>
    </row>
    <row r="542" ht="15.75" customHeight="1">
      <c r="D542" s="97"/>
      <c r="G542" s="97"/>
    </row>
    <row r="543" ht="15.75" customHeight="1">
      <c r="D543" s="97"/>
      <c r="G543" s="97"/>
    </row>
    <row r="544" ht="15.75" customHeight="1">
      <c r="D544" s="97"/>
      <c r="G544" s="97"/>
    </row>
    <row r="545" ht="15.75" customHeight="1">
      <c r="D545" s="97"/>
      <c r="G545" s="97"/>
    </row>
    <row r="546" ht="15.75" customHeight="1">
      <c r="D546" s="97"/>
      <c r="G546" s="97"/>
    </row>
    <row r="547" ht="15.75" customHeight="1">
      <c r="D547" s="97"/>
      <c r="G547" s="97"/>
    </row>
    <row r="548" ht="15.75" customHeight="1">
      <c r="D548" s="97"/>
      <c r="G548" s="97"/>
    </row>
    <row r="549" ht="15.75" customHeight="1">
      <c r="D549" s="97"/>
      <c r="G549" s="97"/>
    </row>
    <row r="550" ht="15.75" customHeight="1">
      <c r="D550" s="97"/>
      <c r="G550" s="97"/>
    </row>
    <row r="551" ht="15.75" customHeight="1">
      <c r="D551" s="97"/>
      <c r="G551" s="97"/>
    </row>
    <row r="552" ht="15.75" customHeight="1">
      <c r="D552" s="97"/>
      <c r="G552" s="97"/>
    </row>
    <row r="553" ht="15.75" customHeight="1">
      <c r="D553" s="97"/>
      <c r="G553" s="97"/>
    </row>
    <row r="554" ht="15.75" customHeight="1">
      <c r="D554" s="97"/>
      <c r="G554" s="97"/>
    </row>
    <row r="555" ht="15.75" customHeight="1">
      <c r="D555" s="97"/>
      <c r="G555" s="97"/>
    </row>
    <row r="556" ht="15.75" customHeight="1">
      <c r="D556" s="97"/>
      <c r="G556" s="97"/>
    </row>
    <row r="557" ht="15.75" customHeight="1">
      <c r="D557" s="97"/>
      <c r="G557" s="97"/>
    </row>
    <row r="558" ht="15.75" customHeight="1">
      <c r="D558" s="97"/>
      <c r="G558" s="97"/>
    </row>
    <row r="559" ht="15.75" customHeight="1">
      <c r="D559" s="97"/>
      <c r="G559" s="97"/>
    </row>
    <row r="560" ht="15.75" customHeight="1">
      <c r="D560" s="97"/>
      <c r="G560" s="97"/>
    </row>
    <row r="561" ht="15.75" customHeight="1">
      <c r="D561" s="97"/>
      <c r="G561" s="97"/>
    </row>
    <row r="562" ht="15.75" customHeight="1">
      <c r="D562" s="97"/>
      <c r="G562" s="97"/>
    </row>
    <row r="563" ht="15.75" customHeight="1">
      <c r="D563" s="97"/>
      <c r="G563" s="97"/>
    </row>
    <row r="564" ht="15.75" customHeight="1">
      <c r="D564" s="97"/>
      <c r="G564" s="97"/>
    </row>
    <row r="565" ht="15.75" customHeight="1">
      <c r="D565" s="97"/>
      <c r="G565" s="97"/>
    </row>
    <row r="566" ht="15.75" customHeight="1">
      <c r="D566" s="97"/>
      <c r="G566" s="97"/>
    </row>
    <row r="567" ht="15.75" customHeight="1">
      <c r="D567" s="97"/>
      <c r="G567" s="97"/>
    </row>
    <row r="568" ht="15.75" customHeight="1">
      <c r="D568" s="97"/>
      <c r="G568" s="97"/>
    </row>
    <row r="569" ht="15.75" customHeight="1">
      <c r="D569" s="97"/>
      <c r="G569" s="97"/>
    </row>
    <row r="570" ht="15.75" customHeight="1">
      <c r="D570" s="97"/>
      <c r="G570" s="97"/>
    </row>
    <row r="571" ht="15.75" customHeight="1">
      <c r="D571" s="97"/>
      <c r="G571" s="97"/>
    </row>
    <row r="572" ht="15.75" customHeight="1">
      <c r="D572" s="97"/>
      <c r="G572" s="97"/>
    </row>
    <row r="573" ht="15.75" customHeight="1">
      <c r="D573" s="97"/>
      <c r="G573" s="97"/>
    </row>
    <row r="574" ht="15.75" customHeight="1">
      <c r="D574" s="97"/>
      <c r="G574" s="97"/>
    </row>
    <row r="575" ht="15.75" customHeight="1">
      <c r="D575" s="97"/>
      <c r="G575" s="97"/>
    </row>
    <row r="576" ht="15.75" customHeight="1">
      <c r="D576" s="97"/>
      <c r="G576" s="97"/>
    </row>
    <row r="577" ht="15.75" customHeight="1">
      <c r="D577" s="97"/>
      <c r="G577" s="97"/>
    </row>
    <row r="578" ht="15.75" customHeight="1">
      <c r="D578" s="97"/>
      <c r="G578" s="97"/>
    </row>
    <row r="579" ht="15.75" customHeight="1">
      <c r="D579" s="97"/>
      <c r="G579" s="97"/>
    </row>
    <row r="580" ht="15.75" customHeight="1">
      <c r="D580" s="97"/>
      <c r="G580" s="97"/>
    </row>
    <row r="581" ht="15.75" customHeight="1">
      <c r="D581" s="97"/>
      <c r="G581" s="97"/>
    </row>
    <row r="582" ht="15.75" customHeight="1">
      <c r="D582" s="97"/>
      <c r="G582" s="97"/>
    </row>
    <row r="583" ht="15.75" customHeight="1">
      <c r="D583" s="97"/>
      <c r="G583" s="97"/>
    </row>
    <row r="584" ht="15.75" customHeight="1">
      <c r="D584" s="97"/>
      <c r="G584" s="97"/>
    </row>
    <row r="585" ht="15.75" customHeight="1">
      <c r="D585" s="97"/>
      <c r="G585" s="97"/>
    </row>
    <row r="586" ht="15.75" customHeight="1">
      <c r="D586" s="97"/>
      <c r="G586" s="97"/>
    </row>
    <row r="587" ht="15.75" customHeight="1">
      <c r="D587" s="97"/>
      <c r="G587" s="97"/>
    </row>
    <row r="588" ht="15.75" customHeight="1">
      <c r="D588" s="97"/>
      <c r="G588" s="97"/>
    </row>
    <row r="589" ht="15.75" customHeight="1">
      <c r="D589" s="97"/>
      <c r="G589" s="97"/>
    </row>
    <row r="590" ht="15.75" customHeight="1">
      <c r="D590" s="97"/>
      <c r="G590" s="97"/>
    </row>
    <row r="591" ht="15.75" customHeight="1">
      <c r="D591" s="97"/>
      <c r="G591" s="97"/>
    </row>
    <row r="592" ht="15.75" customHeight="1">
      <c r="D592" s="97"/>
      <c r="G592" s="97"/>
    </row>
    <row r="593" ht="15.75" customHeight="1">
      <c r="D593" s="97"/>
      <c r="G593" s="97"/>
    </row>
    <row r="594" ht="15.75" customHeight="1">
      <c r="D594" s="97"/>
      <c r="G594" s="97"/>
    </row>
    <row r="595" ht="15.75" customHeight="1">
      <c r="D595" s="97"/>
      <c r="G595" s="97"/>
    </row>
    <row r="596" ht="15.75" customHeight="1">
      <c r="D596" s="97"/>
      <c r="G596" s="97"/>
    </row>
    <row r="597" ht="15.75" customHeight="1">
      <c r="D597" s="97"/>
      <c r="G597" s="97"/>
    </row>
    <row r="598" ht="15.75" customHeight="1">
      <c r="D598" s="97"/>
      <c r="G598" s="97"/>
    </row>
    <row r="599" ht="15.75" customHeight="1">
      <c r="D599" s="97"/>
      <c r="G599" s="97"/>
    </row>
    <row r="600" ht="15.75" customHeight="1">
      <c r="D600" s="97"/>
      <c r="G600" s="97"/>
    </row>
    <row r="601" ht="15.75" customHeight="1">
      <c r="D601" s="97"/>
      <c r="G601" s="97"/>
    </row>
    <row r="602" ht="15.75" customHeight="1">
      <c r="D602" s="97"/>
      <c r="G602" s="97"/>
    </row>
    <row r="603" ht="15.75" customHeight="1">
      <c r="D603" s="97"/>
      <c r="G603" s="97"/>
    </row>
    <row r="604" ht="15.75" customHeight="1">
      <c r="D604" s="97"/>
      <c r="G604" s="97"/>
    </row>
    <row r="605" ht="15.75" customHeight="1">
      <c r="D605" s="97"/>
      <c r="G605" s="97"/>
    </row>
    <row r="606" ht="15.75" customHeight="1">
      <c r="D606" s="97"/>
      <c r="G606" s="97"/>
    </row>
    <row r="607" ht="15.75" customHeight="1">
      <c r="D607" s="97"/>
      <c r="G607" s="97"/>
    </row>
    <row r="608" ht="15.75" customHeight="1">
      <c r="D608" s="97"/>
      <c r="G608" s="97"/>
    </row>
    <row r="609" ht="15.75" customHeight="1">
      <c r="D609" s="97"/>
      <c r="G609" s="97"/>
    </row>
    <row r="610" ht="15.75" customHeight="1">
      <c r="D610" s="97"/>
      <c r="G610" s="97"/>
    </row>
    <row r="611" ht="15.75" customHeight="1">
      <c r="D611" s="97"/>
      <c r="G611" s="97"/>
    </row>
    <row r="612" ht="15.75" customHeight="1">
      <c r="D612" s="97"/>
      <c r="G612" s="97"/>
    </row>
    <row r="613" ht="15.75" customHeight="1">
      <c r="D613" s="97"/>
      <c r="G613" s="97"/>
    </row>
    <row r="614" ht="15.75" customHeight="1">
      <c r="D614" s="97"/>
      <c r="G614" s="97"/>
    </row>
    <row r="615" ht="15.75" customHeight="1">
      <c r="D615" s="97"/>
      <c r="G615" s="97"/>
    </row>
    <row r="616" ht="15.75" customHeight="1">
      <c r="D616" s="97"/>
      <c r="G616" s="97"/>
    </row>
    <row r="617" ht="15.75" customHeight="1">
      <c r="D617" s="97"/>
      <c r="G617" s="97"/>
    </row>
    <row r="618" ht="15.75" customHeight="1">
      <c r="D618" s="97"/>
      <c r="G618" s="97"/>
    </row>
    <row r="619" ht="15.75" customHeight="1">
      <c r="D619" s="97"/>
      <c r="G619" s="97"/>
    </row>
    <row r="620" ht="15.75" customHeight="1">
      <c r="D620" s="97"/>
      <c r="G620" s="97"/>
    </row>
    <row r="621" ht="15.75" customHeight="1">
      <c r="D621" s="97"/>
      <c r="G621" s="97"/>
    </row>
    <row r="622" ht="15.75" customHeight="1">
      <c r="D622" s="97"/>
      <c r="G622" s="97"/>
    </row>
    <row r="623" ht="15.75" customHeight="1">
      <c r="D623" s="97"/>
      <c r="G623" s="97"/>
    </row>
    <row r="624" ht="15.75" customHeight="1">
      <c r="D624" s="97"/>
      <c r="G624" s="97"/>
    </row>
    <row r="625" ht="15.75" customHeight="1">
      <c r="D625" s="97"/>
      <c r="G625" s="97"/>
    </row>
    <row r="626" ht="15.75" customHeight="1">
      <c r="D626" s="97"/>
      <c r="G626" s="97"/>
    </row>
    <row r="627" ht="15.75" customHeight="1">
      <c r="D627" s="97"/>
      <c r="G627" s="97"/>
    </row>
    <row r="628" ht="15.75" customHeight="1">
      <c r="D628" s="97"/>
      <c r="G628" s="97"/>
    </row>
    <row r="629" ht="15.75" customHeight="1">
      <c r="D629" s="97"/>
      <c r="G629" s="97"/>
    </row>
    <row r="630" ht="15.75" customHeight="1">
      <c r="D630" s="97"/>
      <c r="G630" s="97"/>
    </row>
    <row r="631" ht="15.75" customHeight="1">
      <c r="D631" s="97"/>
      <c r="G631" s="97"/>
    </row>
    <row r="632" ht="15.75" customHeight="1">
      <c r="D632" s="97"/>
      <c r="G632" s="97"/>
    </row>
    <row r="633" ht="15.75" customHeight="1">
      <c r="D633" s="97"/>
      <c r="G633" s="97"/>
    </row>
    <row r="634" ht="15.75" customHeight="1">
      <c r="D634" s="97"/>
      <c r="G634" s="97"/>
    </row>
    <row r="635" ht="15.75" customHeight="1">
      <c r="D635" s="97"/>
      <c r="G635" s="97"/>
    </row>
    <row r="636" ht="15.75" customHeight="1">
      <c r="D636" s="97"/>
      <c r="G636" s="97"/>
    </row>
    <row r="637" ht="15.75" customHeight="1">
      <c r="D637" s="97"/>
      <c r="G637" s="97"/>
    </row>
    <row r="638" ht="15.75" customHeight="1">
      <c r="D638" s="97"/>
      <c r="G638" s="97"/>
    </row>
    <row r="639" ht="15.75" customHeight="1">
      <c r="D639" s="97"/>
      <c r="G639" s="97"/>
    </row>
    <row r="640" ht="15.75" customHeight="1">
      <c r="D640" s="97"/>
      <c r="G640" s="97"/>
    </row>
    <row r="641" ht="15.75" customHeight="1">
      <c r="D641" s="97"/>
      <c r="G641" s="97"/>
    </row>
    <row r="642" ht="15.75" customHeight="1">
      <c r="D642" s="97"/>
      <c r="G642" s="97"/>
    </row>
    <row r="643" ht="15.75" customHeight="1">
      <c r="D643" s="97"/>
      <c r="G643" s="97"/>
    </row>
    <row r="644" ht="15.75" customHeight="1">
      <c r="D644" s="97"/>
      <c r="G644" s="97"/>
    </row>
    <row r="645" ht="15.75" customHeight="1">
      <c r="D645" s="97"/>
      <c r="G645" s="97"/>
    </row>
    <row r="646" ht="15.75" customHeight="1">
      <c r="D646" s="97"/>
      <c r="G646" s="97"/>
    </row>
    <row r="647" ht="15.75" customHeight="1">
      <c r="D647" s="97"/>
      <c r="G647" s="97"/>
    </row>
    <row r="648" ht="15.75" customHeight="1">
      <c r="D648" s="97"/>
      <c r="G648" s="97"/>
    </row>
    <row r="649" ht="15.75" customHeight="1">
      <c r="D649" s="97"/>
      <c r="G649" s="97"/>
    </row>
    <row r="650" ht="15.75" customHeight="1">
      <c r="D650" s="97"/>
      <c r="G650" s="97"/>
    </row>
    <row r="651" ht="15.75" customHeight="1">
      <c r="D651" s="97"/>
      <c r="G651" s="97"/>
    </row>
    <row r="652" ht="15.75" customHeight="1">
      <c r="D652" s="97"/>
      <c r="G652" s="97"/>
    </row>
    <row r="653" ht="15.75" customHeight="1">
      <c r="D653" s="97"/>
      <c r="G653" s="97"/>
    </row>
    <row r="654" ht="15.75" customHeight="1">
      <c r="D654" s="97"/>
      <c r="G654" s="97"/>
    </row>
    <row r="655" ht="15.75" customHeight="1">
      <c r="D655" s="97"/>
      <c r="G655" s="97"/>
    </row>
    <row r="656" ht="15.75" customHeight="1">
      <c r="D656" s="97"/>
      <c r="G656" s="97"/>
    </row>
    <row r="657" ht="15.75" customHeight="1">
      <c r="D657" s="97"/>
      <c r="G657" s="97"/>
    </row>
    <row r="658" ht="15.75" customHeight="1">
      <c r="D658" s="97"/>
      <c r="G658" s="97"/>
    </row>
    <row r="659" ht="15.75" customHeight="1">
      <c r="D659" s="97"/>
      <c r="G659" s="97"/>
    </row>
    <row r="660" ht="15.75" customHeight="1">
      <c r="D660" s="97"/>
      <c r="G660" s="97"/>
    </row>
    <row r="661" ht="15.75" customHeight="1">
      <c r="D661" s="97"/>
      <c r="G661" s="97"/>
    </row>
    <row r="662" ht="15.75" customHeight="1">
      <c r="D662" s="97"/>
      <c r="G662" s="97"/>
    </row>
    <row r="663" ht="15.75" customHeight="1">
      <c r="D663" s="97"/>
      <c r="G663" s="97"/>
    </row>
    <row r="664" ht="15.75" customHeight="1">
      <c r="D664" s="97"/>
      <c r="G664" s="97"/>
    </row>
    <row r="665" ht="15.75" customHeight="1">
      <c r="D665" s="97"/>
      <c r="G665" s="97"/>
    </row>
    <row r="666" ht="15.75" customHeight="1">
      <c r="D666" s="97"/>
      <c r="G666" s="97"/>
    </row>
    <row r="667" ht="15.75" customHeight="1">
      <c r="D667" s="97"/>
      <c r="G667" s="97"/>
    </row>
    <row r="668" ht="15.75" customHeight="1">
      <c r="D668" s="97"/>
      <c r="G668" s="97"/>
    </row>
    <row r="669" ht="15.75" customHeight="1">
      <c r="D669" s="97"/>
      <c r="G669" s="97"/>
    </row>
    <row r="670" ht="15.75" customHeight="1">
      <c r="D670" s="97"/>
      <c r="G670" s="97"/>
    </row>
    <row r="671" ht="15.75" customHeight="1">
      <c r="D671" s="97"/>
      <c r="G671" s="97"/>
    </row>
    <row r="672" ht="15.75" customHeight="1">
      <c r="D672" s="97"/>
      <c r="G672" s="97"/>
    </row>
    <row r="673" ht="15.75" customHeight="1">
      <c r="D673" s="97"/>
      <c r="G673" s="97"/>
    </row>
    <row r="674" ht="15.75" customHeight="1">
      <c r="D674" s="97"/>
      <c r="G674" s="97"/>
    </row>
    <row r="675" ht="15.75" customHeight="1">
      <c r="D675" s="97"/>
      <c r="G675" s="97"/>
    </row>
    <row r="676" ht="15.75" customHeight="1">
      <c r="D676" s="97"/>
      <c r="G676" s="97"/>
    </row>
    <row r="677" ht="15.75" customHeight="1">
      <c r="D677" s="97"/>
      <c r="G677" s="97"/>
    </row>
    <row r="678" ht="15.75" customHeight="1">
      <c r="D678" s="97"/>
      <c r="G678" s="97"/>
    </row>
    <row r="679" ht="15.75" customHeight="1">
      <c r="D679" s="97"/>
      <c r="G679" s="97"/>
    </row>
    <row r="680" ht="15.75" customHeight="1">
      <c r="D680" s="97"/>
      <c r="G680" s="97"/>
    </row>
    <row r="681" ht="15.75" customHeight="1">
      <c r="D681" s="97"/>
      <c r="G681" s="97"/>
    </row>
    <row r="682" ht="15.75" customHeight="1">
      <c r="D682" s="97"/>
      <c r="G682" s="97"/>
    </row>
    <row r="683" ht="15.75" customHeight="1">
      <c r="D683" s="97"/>
      <c r="G683" s="97"/>
    </row>
    <row r="684" ht="15.75" customHeight="1">
      <c r="D684" s="97"/>
      <c r="G684" s="97"/>
    </row>
    <row r="685" ht="15.75" customHeight="1">
      <c r="D685" s="97"/>
      <c r="G685" s="97"/>
    </row>
    <row r="686" ht="15.75" customHeight="1">
      <c r="D686" s="97"/>
      <c r="G686" s="97"/>
    </row>
    <row r="687" ht="15.75" customHeight="1">
      <c r="D687" s="97"/>
      <c r="G687" s="97"/>
    </row>
    <row r="688" ht="15.75" customHeight="1">
      <c r="D688" s="97"/>
      <c r="G688" s="97"/>
    </row>
    <row r="689" ht="15.75" customHeight="1">
      <c r="D689" s="97"/>
      <c r="G689" s="97"/>
    </row>
    <row r="690" ht="15.75" customHeight="1">
      <c r="D690" s="97"/>
      <c r="G690" s="97"/>
    </row>
    <row r="691" ht="15.75" customHeight="1">
      <c r="D691" s="97"/>
      <c r="G691" s="97"/>
    </row>
    <row r="692" ht="15.75" customHeight="1">
      <c r="D692" s="97"/>
      <c r="G692" s="97"/>
    </row>
    <row r="693" ht="15.75" customHeight="1">
      <c r="D693" s="97"/>
      <c r="G693" s="97"/>
    </row>
    <row r="694" ht="15.75" customHeight="1">
      <c r="D694" s="97"/>
      <c r="G694" s="97"/>
    </row>
    <row r="695" ht="15.75" customHeight="1">
      <c r="D695" s="97"/>
      <c r="G695" s="97"/>
    </row>
    <row r="696" ht="15.75" customHeight="1">
      <c r="D696" s="97"/>
      <c r="G696" s="97"/>
    </row>
    <row r="697" ht="15.75" customHeight="1">
      <c r="D697" s="97"/>
      <c r="G697" s="97"/>
    </row>
    <row r="698" ht="15.75" customHeight="1">
      <c r="D698" s="97"/>
      <c r="G698" s="97"/>
    </row>
    <row r="699" ht="15.75" customHeight="1">
      <c r="D699" s="97"/>
      <c r="G699" s="97"/>
    </row>
    <row r="700" ht="15.75" customHeight="1">
      <c r="D700" s="97"/>
      <c r="G700" s="97"/>
    </row>
    <row r="701" ht="15.75" customHeight="1">
      <c r="D701" s="97"/>
      <c r="G701" s="97"/>
    </row>
    <row r="702" ht="15.75" customHeight="1">
      <c r="D702" s="97"/>
      <c r="G702" s="97"/>
    </row>
    <row r="703" ht="15.75" customHeight="1">
      <c r="D703" s="97"/>
      <c r="G703" s="97"/>
    </row>
    <row r="704" ht="15.75" customHeight="1">
      <c r="D704" s="97"/>
      <c r="G704" s="97"/>
    </row>
    <row r="705" ht="15.75" customHeight="1">
      <c r="D705" s="97"/>
      <c r="G705" s="97"/>
    </row>
    <row r="706" ht="15.75" customHeight="1">
      <c r="D706" s="97"/>
      <c r="G706" s="97"/>
    </row>
    <row r="707" ht="15.75" customHeight="1">
      <c r="D707" s="97"/>
      <c r="G707" s="97"/>
    </row>
    <row r="708" ht="15.75" customHeight="1">
      <c r="D708" s="97"/>
      <c r="G708" s="97"/>
    </row>
    <row r="709" ht="15.75" customHeight="1">
      <c r="D709" s="97"/>
      <c r="G709" s="97"/>
    </row>
    <row r="710" ht="15.75" customHeight="1">
      <c r="D710" s="97"/>
      <c r="G710" s="97"/>
    </row>
    <row r="711" ht="15.75" customHeight="1">
      <c r="D711" s="97"/>
      <c r="G711" s="97"/>
    </row>
    <row r="712" ht="15.75" customHeight="1">
      <c r="D712" s="97"/>
      <c r="G712" s="97"/>
    </row>
    <row r="713" ht="15.75" customHeight="1">
      <c r="D713" s="97"/>
      <c r="G713" s="97"/>
    </row>
    <row r="714" ht="15.75" customHeight="1">
      <c r="D714" s="97"/>
      <c r="G714" s="97"/>
    </row>
    <row r="715" ht="15.75" customHeight="1">
      <c r="D715" s="97"/>
      <c r="G715" s="97"/>
    </row>
    <row r="716" ht="15.75" customHeight="1">
      <c r="D716" s="97"/>
      <c r="G716" s="97"/>
    </row>
    <row r="717" ht="15.75" customHeight="1">
      <c r="D717" s="97"/>
      <c r="G717" s="97"/>
    </row>
    <row r="718" ht="15.75" customHeight="1">
      <c r="D718" s="97"/>
      <c r="G718" s="97"/>
    </row>
    <row r="719" ht="15.75" customHeight="1">
      <c r="D719" s="97"/>
      <c r="G719" s="97"/>
    </row>
    <row r="720" ht="15.75" customHeight="1">
      <c r="D720" s="97"/>
      <c r="G720" s="97"/>
    </row>
    <row r="721" ht="15.75" customHeight="1">
      <c r="D721" s="97"/>
      <c r="G721" s="97"/>
    </row>
    <row r="722" ht="15.75" customHeight="1">
      <c r="D722" s="97"/>
      <c r="G722" s="97"/>
    </row>
    <row r="723" ht="15.75" customHeight="1">
      <c r="D723" s="97"/>
      <c r="G723" s="97"/>
    </row>
    <row r="724" ht="15.75" customHeight="1">
      <c r="D724" s="97"/>
      <c r="G724" s="97"/>
    </row>
    <row r="725" ht="15.75" customHeight="1">
      <c r="D725" s="97"/>
      <c r="G725" s="97"/>
    </row>
    <row r="726" ht="15.75" customHeight="1">
      <c r="D726" s="97"/>
      <c r="G726" s="97"/>
    </row>
    <row r="727" ht="15.75" customHeight="1">
      <c r="D727" s="97"/>
      <c r="G727" s="97"/>
    </row>
    <row r="728" ht="15.75" customHeight="1">
      <c r="D728" s="97"/>
      <c r="G728" s="97"/>
    </row>
    <row r="729" ht="15.75" customHeight="1">
      <c r="D729" s="97"/>
      <c r="G729" s="97"/>
    </row>
    <row r="730" ht="15.75" customHeight="1">
      <c r="D730" s="97"/>
      <c r="G730" s="97"/>
    </row>
    <row r="731" ht="15.75" customHeight="1">
      <c r="D731" s="97"/>
      <c r="G731" s="97"/>
    </row>
    <row r="732" ht="15.75" customHeight="1">
      <c r="D732" s="97"/>
      <c r="G732" s="97"/>
    </row>
    <row r="733" ht="15.75" customHeight="1">
      <c r="D733" s="97"/>
      <c r="G733" s="97"/>
    </row>
    <row r="734" ht="15.75" customHeight="1">
      <c r="D734" s="97"/>
      <c r="G734" s="97"/>
    </row>
    <row r="735" ht="15.75" customHeight="1">
      <c r="D735" s="97"/>
      <c r="G735" s="97"/>
    </row>
    <row r="736" ht="15.75" customHeight="1">
      <c r="D736" s="97"/>
      <c r="G736" s="97"/>
    </row>
    <row r="737" ht="15.75" customHeight="1">
      <c r="D737" s="97"/>
      <c r="G737" s="97"/>
    </row>
    <row r="738" ht="15.75" customHeight="1">
      <c r="D738" s="97"/>
      <c r="G738" s="97"/>
    </row>
    <row r="739" ht="15.75" customHeight="1">
      <c r="D739" s="97"/>
      <c r="G739" s="97"/>
    </row>
    <row r="740" ht="15.75" customHeight="1">
      <c r="D740" s="97"/>
      <c r="G740" s="97"/>
    </row>
    <row r="741" ht="15.75" customHeight="1">
      <c r="D741" s="97"/>
      <c r="G741" s="97"/>
    </row>
    <row r="742" ht="15.75" customHeight="1">
      <c r="D742" s="97"/>
      <c r="G742" s="97"/>
    </row>
    <row r="743" ht="15.75" customHeight="1">
      <c r="D743" s="97"/>
      <c r="G743" s="97"/>
    </row>
    <row r="744" ht="15.75" customHeight="1">
      <c r="D744" s="97"/>
      <c r="G744" s="97"/>
    </row>
    <row r="745" ht="15.75" customHeight="1">
      <c r="D745" s="97"/>
      <c r="G745" s="97"/>
    </row>
    <row r="746" ht="15.75" customHeight="1">
      <c r="D746" s="97"/>
      <c r="G746" s="97"/>
    </row>
    <row r="747" ht="15.75" customHeight="1">
      <c r="D747" s="97"/>
      <c r="G747" s="97"/>
    </row>
    <row r="748" ht="15.75" customHeight="1">
      <c r="D748" s="97"/>
      <c r="G748" s="97"/>
    </row>
    <row r="749" ht="15.75" customHeight="1">
      <c r="D749" s="97"/>
      <c r="G749" s="97"/>
    </row>
    <row r="750" ht="15.75" customHeight="1">
      <c r="D750" s="97"/>
      <c r="G750" s="97"/>
    </row>
    <row r="751" ht="15.75" customHeight="1">
      <c r="D751" s="97"/>
      <c r="G751" s="97"/>
    </row>
    <row r="752" ht="15.75" customHeight="1">
      <c r="D752" s="97"/>
      <c r="G752" s="97"/>
    </row>
    <row r="753" ht="15.75" customHeight="1">
      <c r="D753" s="97"/>
      <c r="G753" s="97"/>
    </row>
    <row r="754" ht="15.75" customHeight="1">
      <c r="D754" s="97"/>
      <c r="G754" s="97"/>
    </row>
    <row r="755" ht="15.75" customHeight="1">
      <c r="D755" s="97"/>
      <c r="G755" s="97"/>
    </row>
    <row r="756" ht="15.75" customHeight="1">
      <c r="D756" s="97"/>
      <c r="G756" s="97"/>
    </row>
    <row r="757" ht="15.75" customHeight="1">
      <c r="D757" s="97"/>
      <c r="G757" s="97"/>
    </row>
    <row r="758" ht="15.75" customHeight="1">
      <c r="D758" s="97"/>
      <c r="G758" s="97"/>
    </row>
    <row r="759" ht="15.75" customHeight="1">
      <c r="D759" s="97"/>
      <c r="G759" s="97"/>
    </row>
    <row r="760" ht="15.75" customHeight="1">
      <c r="D760" s="97"/>
      <c r="G760" s="97"/>
    </row>
    <row r="761" ht="15.75" customHeight="1">
      <c r="D761" s="97"/>
      <c r="G761" s="97"/>
    </row>
    <row r="762" ht="15.75" customHeight="1">
      <c r="D762" s="97"/>
      <c r="G762" s="97"/>
    </row>
    <row r="763" ht="15.75" customHeight="1">
      <c r="D763" s="97"/>
      <c r="G763" s="97"/>
    </row>
    <row r="764" ht="15.75" customHeight="1">
      <c r="D764" s="97"/>
      <c r="G764" s="97"/>
    </row>
    <row r="765" ht="15.75" customHeight="1">
      <c r="D765" s="97"/>
      <c r="G765" s="97"/>
    </row>
    <row r="766" ht="15.75" customHeight="1">
      <c r="D766" s="97"/>
      <c r="G766" s="97"/>
    </row>
    <row r="767" ht="15.75" customHeight="1">
      <c r="D767" s="97"/>
      <c r="G767" s="97"/>
    </row>
    <row r="768" ht="15.75" customHeight="1">
      <c r="D768" s="97"/>
      <c r="G768" s="97"/>
    </row>
    <row r="769" ht="15.75" customHeight="1">
      <c r="D769" s="97"/>
      <c r="G769" s="97"/>
    </row>
    <row r="770" ht="15.75" customHeight="1">
      <c r="D770" s="97"/>
      <c r="G770" s="97"/>
    </row>
    <row r="771" ht="15.75" customHeight="1">
      <c r="D771" s="97"/>
      <c r="G771" s="97"/>
    </row>
    <row r="772" ht="15.75" customHeight="1">
      <c r="D772" s="97"/>
      <c r="G772" s="97"/>
    </row>
    <row r="773" ht="15.75" customHeight="1">
      <c r="D773" s="97"/>
      <c r="G773" s="97"/>
    </row>
    <row r="774" ht="15.75" customHeight="1">
      <c r="D774" s="97"/>
      <c r="G774" s="97"/>
    </row>
    <row r="775" ht="15.75" customHeight="1">
      <c r="D775" s="97"/>
      <c r="G775" s="97"/>
    </row>
    <row r="776" ht="15.75" customHeight="1">
      <c r="D776" s="97"/>
      <c r="G776" s="97"/>
    </row>
    <row r="777" ht="15.75" customHeight="1">
      <c r="D777" s="97"/>
      <c r="G777" s="97"/>
    </row>
    <row r="778" ht="15.75" customHeight="1">
      <c r="D778" s="97"/>
      <c r="G778" s="97"/>
    </row>
    <row r="779" ht="15.75" customHeight="1">
      <c r="D779" s="97"/>
      <c r="G779" s="97"/>
    </row>
    <row r="780" ht="15.75" customHeight="1">
      <c r="D780" s="97"/>
      <c r="G780" s="97"/>
    </row>
    <row r="781" ht="15.75" customHeight="1">
      <c r="D781" s="97"/>
      <c r="G781" s="97"/>
    </row>
    <row r="782" ht="15.75" customHeight="1">
      <c r="D782" s="97"/>
      <c r="G782" s="97"/>
    </row>
    <row r="783" ht="15.75" customHeight="1">
      <c r="D783" s="97"/>
      <c r="G783" s="97"/>
    </row>
    <row r="784" ht="15.75" customHeight="1">
      <c r="D784" s="97"/>
      <c r="G784" s="97"/>
    </row>
    <row r="785" ht="15.75" customHeight="1">
      <c r="D785" s="97"/>
      <c r="G785" s="97"/>
    </row>
    <row r="786" ht="15.75" customHeight="1">
      <c r="D786" s="97"/>
      <c r="G786" s="97"/>
    </row>
    <row r="787" ht="15.75" customHeight="1">
      <c r="D787" s="97"/>
      <c r="G787" s="97"/>
    </row>
    <row r="788" ht="15.75" customHeight="1">
      <c r="D788" s="97"/>
      <c r="G788" s="97"/>
    </row>
    <row r="789" ht="15.75" customHeight="1">
      <c r="D789" s="97"/>
      <c r="G789" s="97"/>
    </row>
    <row r="790" ht="15.75" customHeight="1">
      <c r="D790" s="97"/>
      <c r="G790" s="97"/>
    </row>
    <row r="791" ht="15.75" customHeight="1">
      <c r="D791" s="97"/>
      <c r="G791" s="97"/>
    </row>
    <row r="792" ht="15.75" customHeight="1">
      <c r="D792" s="97"/>
      <c r="G792" s="97"/>
    </row>
    <row r="793" ht="15.75" customHeight="1">
      <c r="D793" s="97"/>
      <c r="G793" s="97"/>
    </row>
    <row r="794" ht="15.75" customHeight="1">
      <c r="D794" s="97"/>
      <c r="G794" s="97"/>
    </row>
    <row r="795" ht="15.75" customHeight="1">
      <c r="D795" s="97"/>
      <c r="G795" s="97"/>
    </row>
    <row r="796" ht="15.75" customHeight="1">
      <c r="D796" s="97"/>
      <c r="G796" s="97"/>
    </row>
    <row r="797" ht="15.75" customHeight="1">
      <c r="D797" s="97"/>
      <c r="G797" s="97"/>
    </row>
    <row r="798" ht="15.75" customHeight="1">
      <c r="D798" s="97"/>
      <c r="G798" s="97"/>
    </row>
    <row r="799" ht="15.75" customHeight="1">
      <c r="D799" s="97"/>
      <c r="G799" s="97"/>
    </row>
    <row r="800" ht="15.75" customHeight="1">
      <c r="D800" s="97"/>
      <c r="G800" s="97"/>
    </row>
    <row r="801" ht="15.75" customHeight="1">
      <c r="D801" s="97"/>
      <c r="G801" s="97"/>
    </row>
    <row r="802" ht="15.75" customHeight="1">
      <c r="D802" s="97"/>
      <c r="G802" s="97"/>
    </row>
    <row r="803" ht="15.75" customHeight="1">
      <c r="D803" s="97"/>
      <c r="G803" s="97"/>
    </row>
    <row r="804" ht="15.75" customHeight="1">
      <c r="D804" s="97"/>
      <c r="G804" s="97"/>
    </row>
    <row r="805" ht="15.75" customHeight="1">
      <c r="D805" s="97"/>
      <c r="G805" s="97"/>
    </row>
    <row r="806" ht="15.75" customHeight="1">
      <c r="D806" s="97"/>
      <c r="G806" s="97"/>
    </row>
    <row r="807" ht="15.75" customHeight="1">
      <c r="D807" s="97"/>
      <c r="G807" s="97"/>
    </row>
    <row r="808" ht="15.75" customHeight="1">
      <c r="D808" s="97"/>
      <c r="G808" s="97"/>
    </row>
    <row r="809" ht="15.75" customHeight="1">
      <c r="D809" s="97"/>
      <c r="G809" s="97"/>
    </row>
    <row r="810" ht="15.75" customHeight="1">
      <c r="D810" s="97"/>
      <c r="G810" s="97"/>
    </row>
    <row r="811" ht="15.75" customHeight="1">
      <c r="D811" s="97"/>
      <c r="G811" s="97"/>
    </row>
    <row r="812" ht="15.75" customHeight="1">
      <c r="D812" s="97"/>
      <c r="G812" s="97"/>
    </row>
    <row r="813" ht="15.75" customHeight="1">
      <c r="D813" s="97"/>
      <c r="G813" s="97"/>
    </row>
    <row r="814" ht="15.75" customHeight="1">
      <c r="D814" s="97"/>
      <c r="G814" s="97"/>
    </row>
    <row r="815" ht="15.75" customHeight="1">
      <c r="D815" s="97"/>
      <c r="G815" s="97"/>
    </row>
    <row r="816" ht="15.75" customHeight="1">
      <c r="D816" s="97"/>
      <c r="G816" s="97"/>
    </row>
    <row r="817" ht="15.75" customHeight="1">
      <c r="D817" s="97"/>
      <c r="G817" s="97"/>
    </row>
    <row r="818" ht="15.75" customHeight="1">
      <c r="D818" s="97"/>
      <c r="G818" s="97"/>
    </row>
    <row r="819" ht="15.75" customHeight="1">
      <c r="D819" s="97"/>
      <c r="G819" s="97"/>
    </row>
    <row r="820" ht="15.75" customHeight="1">
      <c r="D820" s="97"/>
      <c r="G820" s="97"/>
    </row>
    <row r="821" ht="15.75" customHeight="1">
      <c r="D821" s="97"/>
      <c r="G821" s="97"/>
    </row>
    <row r="822" ht="15.75" customHeight="1">
      <c r="D822" s="97"/>
      <c r="G822" s="97"/>
    </row>
    <row r="823" ht="15.75" customHeight="1">
      <c r="D823" s="97"/>
      <c r="G823" s="97"/>
    </row>
    <row r="824" ht="15.75" customHeight="1">
      <c r="D824" s="97"/>
      <c r="G824" s="97"/>
    </row>
    <row r="825" ht="15.75" customHeight="1">
      <c r="D825" s="97"/>
      <c r="G825" s="97"/>
    </row>
    <row r="826" ht="15.75" customHeight="1">
      <c r="D826" s="97"/>
      <c r="G826" s="97"/>
    </row>
    <row r="827" ht="15.75" customHeight="1">
      <c r="D827" s="97"/>
      <c r="G827" s="97"/>
    </row>
    <row r="828" ht="15.75" customHeight="1">
      <c r="D828" s="97"/>
      <c r="G828" s="97"/>
    </row>
    <row r="829" ht="15.75" customHeight="1">
      <c r="D829" s="97"/>
      <c r="G829" s="97"/>
    </row>
    <row r="830" ht="15.75" customHeight="1">
      <c r="D830" s="97"/>
      <c r="G830" s="97"/>
    </row>
    <row r="831" ht="15.75" customHeight="1">
      <c r="D831" s="97"/>
      <c r="G831" s="97"/>
    </row>
    <row r="832" ht="15.75" customHeight="1">
      <c r="D832" s="97"/>
      <c r="G832" s="97"/>
    </row>
    <row r="833" ht="15.75" customHeight="1">
      <c r="D833" s="97"/>
      <c r="G833" s="97"/>
    </row>
    <row r="834" ht="15.75" customHeight="1">
      <c r="D834" s="97"/>
      <c r="G834" s="97"/>
    </row>
    <row r="835" ht="15.75" customHeight="1">
      <c r="D835" s="97"/>
      <c r="G835" s="97"/>
    </row>
    <row r="836" ht="15.75" customHeight="1">
      <c r="D836" s="97"/>
      <c r="G836" s="97"/>
    </row>
    <row r="837" ht="15.75" customHeight="1">
      <c r="D837" s="97"/>
      <c r="G837" s="97"/>
    </row>
    <row r="838" ht="15.75" customHeight="1">
      <c r="D838" s="97"/>
      <c r="G838" s="97"/>
    </row>
    <row r="839" ht="15.75" customHeight="1">
      <c r="D839" s="97"/>
      <c r="G839" s="97"/>
    </row>
    <row r="840" ht="15.75" customHeight="1">
      <c r="D840" s="97"/>
      <c r="G840" s="97"/>
    </row>
    <row r="841" ht="15.75" customHeight="1">
      <c r="D841" s="97"/>
      <c r="G841" s="97"/>
    </row>
    <row r="842" ht="15.75" customHeight="1">
      <c r="D842" s="97"/>
      <c r="G842" s="97"/>
    </row>
    <row r="843" ht="15.75" customHeight="1">
      <c r="D843" s="97"/>
      <c r="G843" s="97"/>
    </row>
    <row r="844" ht="15.75" customHeight="1">
      <c r="D844" s="97"/>
      <c r="G844" s="97"/>
    </row>
    <row r="845" ht="15.75" customHeight="1">
      <c r="D845" s="97"/>
      <c r="G845" s="97"/>
    </row>
    <row r="846" ht="15.75" customHeight="1">
      <c r="D846" s="97"/>
      <c r="G846" s="97"/>
    </row>
    <row r="847" ht="15.75" customHeight="1">
      <c r="D847" s="97"/>
      <c r="G847" s="97"/>
    </row>
    <row r="848" ht="15.75" customHeight="1">
      <c r="D848" s="97"/>
      <c r="G848" s="97"/>
    </row>
    <row r="849" ht="15.75" customHeight="1">
      <c r="D849" s="97"/>
      <c r="G849" s="97"/>
    </row>
    <row r="850" ht="15.75" customHeight="1">
      <c r="D850" s="97"/>
      <c r="G850" s="97"/>
    </row>
    <row r="851" ht="15.75" customHeight="1">
      <c r="D851" s="97"/>
      <c r="G851" s="97"/>
    </row>
    <row r="852" ht="15.75" customHeight="1">
      <c r="D852" s="97"/>
      <c r="G852" s="97"/>
    </row>
    <row r="853" ht="15.75" customHeight="1">
      <c r="D853" s="97"/>
      <c r="G853" s="97"/>
    </row>
    <row r="854" ht="15.75" customHeight="1">
      <c r="D854" s="97"/>
      <c r="G854" s="97"/>
    </row>
    <row r="855" ht="15.75" customHeight="1">
      <c r="D855" s="97"/>
      <c r="G855" s="97"/>
    </row>
    <row r="856" ht="15.75" customHeight="1">
      <c r="D856" s="97"/>
      <c r="G856" s="97"/>
    </row>
    <row r="857" ht="15.75" customHeight="1">
      <c r="D857" s="97"/>
      <c r="G857" s="97"/>
    </row>
    <row r="858" ht="15.75" customHeight="1">
      <c r="D858" s="97"/>
      <c r="G858" s="97"/>
    </row>
    <row r="859" ht="15.75" customHeight="1">
      <c r="D859" s="97"/>
      <c r="G859" s="97"/>
    </row>
    <row r="860" ht="15.75" customHeight="1">
      <c r="D860" s="97"/>
      <c r="G860" s="97"/>
    </row>
    <row r="861" ht="15.75" customHeight="1">
      <c r="D861" s="97"/>
      <c r="G861" s="97"/>
    </row>
    <row r="862" ht="15.75" customHeight="1">
      <c r="D862" s="97"/>
      <c r="G862" s="97"/>
    </row>
    <row r="863" ht="15.75" customHeight="1">
      <c r="D863" s="97"/>
      <c r="G863" s="97"/>
    </row>
    <row r="864" ht="15.75" customHeight="1">
      <c r="D864" s="97"/>
      <c r="G864" s="97"/>
    </row>
    <row r="865" ht="15.75" customHeight="1">
      <c r="D865" s="97"/>
      <c r="G865" s="97"/>
    </row>
    <row r="866" ht="15.75" customHeight="1">
      <c r="D866" s="97"/>
      <c r="G866" s="97"/>
    </row>
    <row r="867" ht="15.75" customHeight="1">
      <c r="D867" s="97"/>
      <c r="G867" s="97"/>
    </row>
    <row r="868" ht="15.75" customHeight="1">
      <c r="D868" s="97"/>
      <c r="G868" s="97"/>
    </row>
    <row r="869" ht="15.75" customHeight="1">
      <c r="D869" s="97"/>
      <c r="G869" s="97"/>
    </row>
    <row r="870" ht="15.75" customHeight="1">
      <c r="D870" s="97"/>
      <c r="G870" s="97"/>
    </row>
    <row r="871" ht="15.75" customHeight="1">
      <c r="D871" s="97"/>
      <c r="G871" s="97"/>
    </row>
    <row r="872" ht="15.75" customHeight="1">
      <c r="D872" s="97"/>
      <c r="G872" s="97"/>
    </row>
    <row r="873" ht="15.75" customHeight="1">
      <c r="D873" s="97"/>
      <c r="G873" s="97"/>
    </row>
    <row r="874" ht="15.75" customHeight="1">
      <c r="D874" s="97"/>
      <c r="G874" s="97"/>
    </row>
    <row r="875" ht="15.75" customHeight="1">
      <c r="D875" s="97"/>
      <c r="G875" s="97"/>
    </row>
    <row r="876" ht="15.75" customHeight="1">
      <c r="D876" s="97"/>
      <c r="G876" s="97"/>
    </row>
    <row r="877" ht="15.75" customHeight="1">
      <c r="D877" s="97"/>
      <c r="G877" s="97"/>
    </row>
    <row r="878" ht="15.75" customHeight="1">
      <c r="D878" s="97"/>
      <c r="G878" s="97"/>
    </row>
    <row r="879" ht="15.75" customHeight="1">
      <c r="D879" s="97"/>
      <c r="G879" s="97"/>
    </row>
    <row r="880" ht="15.75" customHeight="1">
      <c r="D880" s="97"/>
      <c r="G880" s="97"/>
    </row>
    <row r="881" ht="15.75" customHeight="1">
      <c r="D881" s="97"/>
      <c r="G881" s="97"/>
    </row>
    <row r="882" ht="15.75" customHeight="1">
      <c r="D882" s="97"/>
      <c r="G882" s="97"/>
    </row>
    <row r="883" ht="15.75" customHeight="1">
      <c r="D883" s="97"/>
      <c r="G883" s="97"/>
    </row>
    <row r="884" ht="15.75" customHeight="1">
      <c r="D884" s="97"/>
      <c r="G884" s="97"/>
    </row>
    <row r="885" ht="15.75" customHeight="1">
      <c r="D885" s="97"/>
      <c r="G885" s="97"/>
    </row>
    <row r="886" ht="15.75" customHeight="1">
      <c r="D886" s="97"/>
      <c r="G886" s="97"/>
    </row>
    <row r="887" ht="15.75" customHeight="1">
      <c r="D887" s="97"/>
      <c r="G887" s="97"/>
    </row>
    <row r="888" ht="15.75" customHeight="1">
      <c r="D888" s="97"/>
      <c r="G888" s="97"/>
    </row>
    <row r="889" ht="15.75" customHeight="1">
      <c r="D889" s="97"/>
      <c r="G889" s="97"/>
    </row>
    <row r="890" ht="15.75" customHeight="1">
      <c r="D890" s="97"/>
      <c r="G890" s="97"/>
    </row>
    <row r="891" ht="15.75" customHeight="1">
      <c r="D891" s="97"/>
      <c r="G891" s="97"/>
    </row>
    <row r="892" ht="15.75" customHeight="1">
      <c r="D892" s="97"/>
      <c r="G892" s="97"/>
    </row>
    <row r="893" ht="15.75" customHeight="1">
      <c r="D893" s="97"/>
      <c r="G893" s="97"/>
    </row>
    <row r="894" ht="15.75" customHeight="1">
      <c r="D894" s="97"/>
      <c r="G894" s="97"/>
    </row>
    <row r="895" ht="15.75" customHeight="1">
      <c r="D895" s="97"/>
      <c r="G895" s="97"/>
    </row>
    <row r="896" ht="15.75" customHeight="1">
      <c r="D896" s="97"/>
      <c r="G896" s="97"/>
    </row>
    <row r="897" ht="15.75" customHeight="1">
      <c r="D897" s="97"/>
      <c r="G897" s="97"/>
    </row>
    <row r="898" ht="15.75" customHeight="1">
      <c r="D898" s="97"/>
      <c r="G898" s="97"/>
    </row>
    <row r="899" ht="15.75" customHeight="1">
      <c r="D899" s="97"/>
      <c r="G899" s="97"/>
    </row>
    <row r="900" ht="15.75" customHeight="1">
      <c r="D900" s="97"/>
      <c r="G900" s="97"/>
    </row>
    <row r="901" ht="15.75" customHeight="1">
      <c r="D901" s="97"/>
      <c r="G901" s="97"/>
    </row>
    <row r="902" ht="15.75" customHeight="1">
      <c r="D902" s="97"/>
      <c r="G902" s="97"/>
    </row>
    <row r="903" ht="15.75" customHeight="1">
      <c r="D903" s="97"/>
      <c r="G903" s="97"/>
    </row>
    <row r="904" ht="15.75" customHeight="1">
      <c r="D904" s="97"/>
      <c r="G904" s="97"/>
    </row>
    <row r="905" ht="15.75" customHeight="1">
      <c r="D905" s="97"/>
      <c r="G905" s="97"/>
    </row>
    <row r="906" ht="15.75" customHeight="1">
      <c r="D906" s="97"/>
      <c r="G906" s="97"/>
    </row>
    <row r="907" ht="15.75" customHeight="1">
      <c r="D907" s="97"/>
      <c r="G907" s="97"/>
    </row>
    <row r="908" ht="15.75" customHeight="1">
      <c r="D908" s="97"/>
      <c r="G908" s="97"/>
    </row>
    <row r="909" ht="15.75" customHeight="1">
      <c r="D909" s="97"/>
      <c r="G909" s="97"/>
    </row>
    <row r="910" ht="15.75" customHeight="1">
      <c r="D910" s="97"/>
      <c r="G910" s="97"/>
    </row>
    <row r="911" ht="15.75" customHeight="1">
      <c r="D911" s="97"/>
      <c r="G911" s="97"/>
    </row>
    <row r="912" ht="15.75" customHeight="1">
      <c r="D912" s="97"/>
      <c r="G912" s="97"/>
    </row>
    <row r="913" ht="15.75" customHeight="1">
      <c r="D913" s="97"/>
      <c r="G913" s="97"/>
    </row>
    <row r="914" ht="15.75" customHeight="1">
      <c r="D914" s="97"/>
      <c r="G914" s="97"/>
    </row>
    <row r="915" ht="15.75" customHeight="1">
      <c r="D915" s="97"/>
      <c r="G915" s="97"/>
    </row>
    <row r="916" ht="15.75" customHeight="1">
      <c r="D916" s="97"/>
      <c r="G916" s="97"/>
    </row>
    <row r="917" ht="15.75" customHeight="1">
      <c r="D917" s="97"/>
      <c r="G917" s="97"/>
    </row>
    <row r="918" ht="15.75" customHeight="1">
      <c r="D918" s="97"/>
      <c r="G918" s="97"/>
    </row>
    <row r="919" ht="15.75" customHeight="1">
      <c r="D919" s="97"/>
      <c r="G919" s="97"/>
    </row>
    <row r="920" ht="15.75" customHeight="1">
      <c r="D920" s="97"/>
      <c r="G920" s="97"/>
    </row>
    <row r="921" ht="15.75" customHeight="1">
      <c r="D921" s="97"/>
      <c r="G921" s="97"/>
    </row>
    <row r="922" ht="15.75" customHeight="1">
      <c r="D922" s="97"/>
      <c r="G922" s="97"/>
    </row>
    <row r="923" ht="15.75" customHeight="1">
      <c r="D923" s="97"/>
      <c r="G923" s="97"/>
    </row>
    <row r="924" ht="15.75" customHeight="1">
      <c r="D924" s="97"/>
      <c r="G924" s="97"/>
    </row>
    <row r="925" ht="15.75" customHeight="1">
      <c r="D925" s="97"/>
      <c r="G925" s="97"/>
    </row>
    <row r="926" ht="15.75" customHeight="1">
      <c r="D926" s="97"/>
      <c r="G926" s="97"/>
    </row>
    <row r="927" ht="15.75" customHeight="1">
      <c r="D927" s="97"/>
      <c r="G927" s="97"/>
    </row>
    <row r="928" ht="15.75" customHeight="1">
      <c r="D928" s="97"/>
      <c r="G928" s="97"/>
    </row>
    <row r="929" ht="15.75" customHeight="1">
      <c r="D929" s="97"/>
      <c r="G929" s="97"/>
    </row>
    <row r="930" ht="15.75" customHeight="1">
      <c r="D930" s="97"/>
      <c r="G930" s="97"/>
    </row>
    <row r="931" ht="15.75" customHeight="1">
      <c r="D931" s="97"/>
      <c r="G931" s="97"/>
    </row>
    <row r="932" ht="15.75" customHeight="1">
      <c r="D932" s="97"/>
      <c r="G932" s="97"/>
    </row>
    <row r="933" ht="15.75" customHeight="1">
      <c r="D933" s="97"/>
      <c r="G933" s="97"/>
    </row>
    <row r="934" ht="15.75" customHeight="1">
      <c r="D934" s="97"/>
      <c r="G934" s="97"/>
    </row>
    <row r="935" ht="15.75" customHeight="1">
      <c r="D935" s="97"/>
      <c r="G935" s="97"/>
    </row>
    <row r="936" ht="15.75" customHeight="1">
      <c r="D936" s="97"/>
      <c r="G936" s="97"/>
    </row>
    <row r="937" ht="15.75" customHeight="1">
      <c r="D937" s="97"/>
      <c r="G937" s="97"/>
    </row>
    <row r="938" ht="15.75" customHeight="1">
      <c r="D938" s="97"/>
      <c r="G938" s="97"/>
    </row>
    <row r="939" ht="15.75" customHeight="1">
      <c r="D939" s="97"/>
      <c r="G939" s="97"/>
    </row>
    <row r="940" ht="15.75" customHeight="1">
      <c r="D940" s="97"/>
      <c r="G940" s="97"/>
    </row>
    <row r="941" ht="15.75" customHeight="1">
      <c r="D941" s="97"/>
      <c r="G941" s="97"/>
    </row>
    <row r="942" ht="15.75" customHeight="1">
      <c r="D942" s="97"/>
      <c r="G942" s="97"/>
    </row>
    <row r="943" ht="15.75" customHeight="1">
      <c r="D943" s="97"/>
      <c r="G943" s="97"/>
    </row>
    <row r="944" ht="15.75" customHeight="1">
      <c r="D944" s="97"/>
      <c r="G944" s="97"/>
    </row>
    <row r="945" ht="15.75" customHeight="1">
      <c r="D945" s="97"/>
      <c r="G945" s="97"/>
    </row>
    <row r="946" ht="15.75" customHeight="1">
      <c r="D946" s="97"/>
      <c r="G946" s="97"/>
    </row>
    <row r="947" ht="15.75" customHeight="1">
      <c r="D947" s="97"/>
      <c r="G947" s="97"/>
    </row>
    <row r="948" ht="15.75" customHeight="1">
      <c r="D948" s="97"/>
      <c r="G948" s="97"/>
    </row>
    <row r="949" ht="15.75" customHeight="1">
      <c r="D949" s="97"/>
      <c r="G949" s="97"/>
    </row>
    <row r="950" ht="15.75" customHeight="1">
      <c r="D950" s="97"/>
      <c r="G950" s="97"/>
    </row>
    <row r="951" ht="15.75" customHeight="1">
      <c r="D951" s="97"/>
      <c r="G951" s="97"/>
    </row>
    <row r="952" ht="15.75" customHeight="1">
      <c r="D952" s="97"/>
      <c r="G952" s="97"/>
    </row>
    <row r="953" ht="15.75" customHeight="1">
      <c r="D953" s="97"/>
      <c r="G953" s="97"/>
    </row>
    <row r="954" ht="15.75" customHeight="1">
      <c r="D954" s="97"/>
      <c r="G954" s="97"/>
    </row>
    <row r="955" ht="15.75" customHeight="1">
      <c r="D955" s="97"/>
      <c r="G955" s="97"/>
    </row>
    <row r="956" ht="15.75" customHeight="1">
      <c r="D956" s="97"/>
      <c r="G956" s="97"/>
    </row>
    <row r="957" ht="15.75" customHeight="1">
      <c r="D957" s="97"/>
      <c r="G957" s="97"/>
    </row>
    <row r="958" ht="15.75" customHeight="1">
      <c r="D958" s="97"/>
      <c r="G958" s="97"/>
    </row>
    <row r="959" ht="15.75" customHeight="1">
      <c r="D959" s="97"/>
      <c r="G959" s="97"/>
    </row>
    <row r="960" ht="15.75" customHeight="1">
      <c r="D960" s="97"/>
      <c r="G960" s="97"/>
    </row>
    <row r="961" ht="15.75" customHeight="1">
      <c r="D961" s="97"/>
      <c r="G961" s="97"/>
    </row>
    <row r="962" ht="15.75" customHeight="1">
      <c r="D962" s="97"/>
      <c r="G962" s="97"/>
    </row>
    <row r="963" ht="15.75" customHeight="1">
      <c r="D963" s="97"/>
      <c r="G963" s="97"/>
    </row>
    <row r="964" ht="15.75" customHeight="1">
      <c r="D964" s="97"/>
      <c r="G964" s="97"/>
    </row>
    <row r="965" ht="15.75" customHeight="1">
      <c r="D965" s="97"/>
      <c r="G965" s="97"/>
    </row>
    <row r="966" ht="15.75" customHeight="1">
      <c r="D966" s="97"/>
      <c r="G966" s="97"/>
    </row>
    <row r="967" ht="15.75" customHeight="1">
      <c r="D967" s="97"/>
      <c r="G967" s="97"/>
    </row>
    <row r="968" ht="15.75" customHeight="1">
      <c r="D968" s="97"/>
      <c r="G968" s="97"/>
    </row>
    <row r="969" ht="15.75" customHeight="1">
      <c r="D969" s="97"/>
      <c r="G969" s="97"/>
    </row>
    <row r="970" ht="15.75" customHeight="1">
      <c r="D970" s="97"/>
      <c r="G970" s="97"/>
    </row>
    <row r="971" ht="15.75" customHeight="1">
      <c r="D971" s="97"/>
      <c r="G971" s="97"/>
    </row>
    <row r="972" ht="15.75" customHeight="1">
      <c r="D972" s="97"/>
      <c r="G972" s="97"/>
    </row>
    <row r="973" ht="15.75" customHeight="1">
      <c r="D973" s="97"/>
      <c r="G973" s="97"/>
    </row>
    <row r="974" ht="15.75" customHeight="1">
      <c r="D974" s="97"/>
      <c r="G974" s="97"/>
    </row>
    <row r="975" ht="15.75" customHeight="1">
      <c r="D975" s="97"/>
      <c r="G975" s="97"/>
    </row>
    <row r="976" ht="15.75" customHeight="1">
      <c r="D976" s="97"/>
      <c r="G976" s="97"/>
    </row>
    <row r="977" ht="15.75" customHeight="1">
      <c r="D977" s="97"/>
      <c r="G977" s="97"/>
    </row>
    <row r="978" ht="15.75" customHeight="1">
      <c r="D978" s="97"/>
      <c r="G978" s="97"/>
    </row>
    <row r="979" ht="15.75" customHeight="1">
      <c r="D979" s="97"/>
      <c r="G979" s="97"/>
    </row>
    <row r="980" ht="15.75" customHeight="1">
      <c r="D980" s="97"/>
      <c r="G980" s="97"/>
    </row>
    <row r="981" ht="15.75" customHeight="1">
      <c r="D981" s="97"/>
      <c r="G981" s="97"/>
    </row>
    <row r="982" ht="15.75" customHeight="1">
      <c r="D982" s="97"/>
      <c r="G982" s="97"/>
    </row>
    <row r="983" ht="15.75" customHeight="1">
      <c r="D983" s="97"/>
      <c r="G983" s="97"/>
    </row>
    <row r="984" ht="15.75" customHeight="1">
      <c r="D984" s="97"/>
      <c r="G984" s="97"/>
    </row>
    <row r="985" ht="15.75" customHeight="1">
      <c r="D985" s="97"/>
      <c r="G985" s="97"/>
    </row>
    <row r="986" ht="15.75" customHeight="1">
      <c r="D986" s="97"/>
      <c r="G986" s="97"/>
    </row>
    <row r="987" ht="15.75" customHeight="1">
      <c r="D987" s="97"/>
      <c r="G987" s="97"/>
    </row>
    <row r="988" ht="15.75" customHeight="1">
      <c r="D988" s="97"/>
      <c r="G988" s="97"/>
    </row>
    <row r="989" ht="15.75" customHeight="1">
      <c r="D989" s="97"/>
      <c r="G989" s="97"/>
    </row>
    <row r="990" ht="15.75" customHeight="1">
      <c r="D990" s="97"/>
      <c r="G990" s="97"/>
    </row>
    <row r="991" ht="15.75" customHeight="1">
      <c r="D991" s="97"/>
      <c r="G991" s="97"/>
    </row>
    <row r="992" ht="15.75" customHeight="1">
      <c r="D992" s="97"/>
      <c r="G992" s="97"/>
    </row>
    <row r="993" ht="15.75" customHeight="1">
      <c r="D993" s="97"/>
      <c r="G993" s="97"/>
    </row>
    <row r="994" ht="15.75" customHeight="1">
      <c r="D994" s="97"/>
      <c r="G994" s="97"/>
    </row>
    <row r="995" ht="15.75" customHeight="1">
      <c r="D995" s="97"/>
      <c r="G995" s="97"/>
    </row>
    <row r="996" ht="15.75" customHeight="1">
      <c r="D996" s="97"/>
      <c r="G996" s="97"/>
    </row>
    <row r="997" ht="15.75" customHeight="1">
      <c r="D997" s="97"/>
      <c r="G997" s="97"/>
    </row>
    <row r="998" ht="15.75" customHeight="1">
      <c r="D998" s="97"/>
      <c r="G998" s="97"/>
    </row>
    <row r="999" ht="15.75" customHeight="1">
      <c r="D999" s="97"/>
      <c r="G999" s="97"/>
    </row>
    <row r="1000" ht="15.75" customHeight="1">
      <c r="D1000" s="97"/>
      <c r="G1000" s="97"/>
    </row>
  </sheetData>
  <dataValidations>
    <dataValidation type="list" allowBlank="1" sqref="G2:G1000">
      <formula1>"Open,Decided,Deferred,Dropped"</formula1>
    </dataValidation>
    <dataValidation type="list" allowBlank="1" sqref="D2:D1000">
      <formula1>"Ahmad,Emmanuel,Moises,Staff / TBD"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2.0"/>
    <col customWidth="1" min="3" max="3" width="48.0"/>
    <col customWidth="1" min="4" max="5" width="42.0"/>
    <col customWidth="1" min="6" max="6" width="16.0"/>
    <col customWidth="1" min="7" max="7" width="12.0"/>
    <col customWidth="1" min="8" max="8" width="30.0"/>
    <col customWidth="1" min="9" max="26" width="8.71"/>
  </cols>
  <sheetData>
    <row r="1" ht="18.0" customHeight="1">
      <c r="A1" s="126" t="s">
        <v>1040</v>
      </c>
      <c r="B1" s="126" t="s">
        <v>266</v>
      </c>
      <c r="C1" s="126" t="s">
        <v>23</v>
      </c>
      <c r="D1" s="126" t="s">
        <v>1274</v>
      </c>
      <c r="E1" s="126" t="s">
        <v>1275</v>
      </c>
      <c r="F1" s="126" t="s">
        <v>10</v>
      </c>
      <c r="G1" s="126" t="s">
        <v>268</v>
      </c>
      <c r="H1" s="126" t="s">
        <v>35</v>
      </c>
    </row>
    <row r="2" ht="18.0" customHeight="1">
      <c r="A2" s="97" t="s">
        <v>1276</v>
      </c>
      <c r="B2" s="97" t="s">
        <v>1277</v>
      </c>
      <c r="C2" s="97" t="s">
        <v>1278</v>
      </c>
      <c r="D2" s="34" t="s">
        <v>1279</v>
      </c>
      <c r="E2" s="97" t="s">
        <v>1280</v>
      </c>
      <c r="F2" s="97" t="s">
        <v>331</v>
      </c>
      <c r="G2" s="97" t="s">
        <v>334</v>
      </c>
    </row>
    <row r="3" ht="18.0" customHeight="1">
      <c r="A3" s="97" t="s">
        <v>1276</v>
      </c>
      <c r="B3" s="97" t="s">
        <v>1277</v>
      </c>
      <c r="C3" s="97" t="s">
        <v>1281</v>
      </c>
      <c r="D3" s="34" t="s">
        <v>1282</v>
      </c>
      <c r="E3" s="97" t="s">
        <v>1283</v>
      </c>
      <c r="F3" s="97" t="s">
        <v>331</v>
      </c>
      <c r="G3" s="97" t="s">
        <v>334</v>
      </c>
    </row>
    <row r="4" ht="18.0" customHeight="1">
      <c r="A4" s="97" t="s">
        <v>690</v>
      </c>
      <c r="B4" s="97" t="s">
        <v>1284</v>
      </c>
      <c r="C4" s="97" t="s">
        <v>126</v>
      </c>
      <c r="D4" s="34" t="s">
        <v>1087</v>
      </c>
      <c r="E4" s="97" t="s">
        <v>1285</v>
      </c>
      <c r="F4" s="97" t="s">
        <v>99</v>
      </c>
      <c r="G4" s="97" t="s">
        <v>334</v>
      </c>
    </row>
    <row r="5" ht="18.0" customHeight="1">
      <c r="A5" s="97" t="s">
        <v>107</v>
      </c>
      <c r="B5" s="97" t="s">
        <v>1284</v>
      </c>
      <c r="C5" s="97" t="s">
        <v>110</v>
      </c>
      <c r="D5" s="34" t="s">
        <v>1092</v>
      </c>
      <c r="E5" s="97" t="s">
        <v>1286</v>
      </c>
      <c r="F5" s="97" t="s">
        <v>109</v>
      </c>
      <c r="G5" s="97" t="s">
        <v>334</v>
      </c>
    </row>
    <row r="6" ht="18.0" customHeight="1">
      <c r="A6" s="97" t="s">
        <v>1276</v>
      </c>
      <c r="B6" s="97" t="s">
        <v>1287</v>
      </c>
      <c r="C6" s="97" t="s">
        <v>1288</v>
      </c>
      <c r="D6" s="34" t="s">
        <v>1289</v>
      </c>
      <c r="E6" s="97" t="s">
        <v>1290</v>
      </c>
      <c r="F6" s="97" t="s">
        <v>99</v>
      </c>
      <c r="G6" s="97" t="s">
        <v>334</v>
      </c>
    </row>
    <row r="7" ht="18.0" customHeight="1">
      <c r="A7" s="97" t="s">
        <v>1276</v>
      </c>
      <c r="B7" s="97" t="s">
        <v>1291</v>
      </c>
      <c r="C7" s="97" t="s">
        <v>1292</v>
      </c>
      <c r="D7" s="34" t="s">
        <v>1293</v>
      </c>
      <c r="E7" s="97" t="s">
        <v>1294</v>
      </c>
      <c r="F7" s="97" t="s">
        <v>331</v>
      </c>
      <c r="G7" s="97" t="s">
        <v>334</v>
      </c>
    </row>
    <row r="8">
      <c r="A8" s="30" t="s">
        <v>146</v>
      </c>
      <c r="B8" s="30" t="s">
        <v>1295</v>
      </c>
      <c r="C8" s="30" t="s">
        <v>1296</v>
      </c>
      <c r="D8" s="34" t="s">
        <v>1059</v>
      </c>
      <c r="E8" s="30" t="s">
        <v>1297</v>
      </c>
      <c r="F8" s="30" t="s">
        <v>99</v>
      </c>
      <c r="G8" s="30" t="s">
        <v>334</v>
      </c>
      <c r="H8" s="30" t="s">
        <v>1298</v>
      </c>
    </row>
    <row r="9">
      <c r="G9" s="97"/>
    </row>
    <row r="10">
      <c r="G10" s="97"/>
    </row>
    <row r="11">
      <c r="G11" s="97"/>
    </row>
    <row r="12">
      <c r="G12" s="97"/>
    </row>
    <row r="13">
      <c r="G13" s="97"/>
    </row>
    <row r="14">
      <c r="G14" s="97"/>
    </row>
    <row r="15">
      <c r="G15" s="97"/>
    </row>
    <row r="16">
      <c r="G16" s="97"/>
    </row>
    <row r="17">
      <c r="G17" s="97"/>
    </row>
    <row r="18">
      <c r="G18" s="97"/>
    </row>
    <row r="19">
      <c r="G19" s="97"/>
    </row>
    <row r="20">
      <c r="G20" s="97"/>
    </row>
    <row r="21" ht="15.75" customHeight="1">
      <c r="G21" s="97"/>
    </row>
    <row r="22" ht="15.75" customHeight="1">
      <c r="G22" s="97"/>
    </row>
    <row r="23" ht="15.75" customHeight="1">
      <c r="G23" s="97"/>
    </row>
    <row r="24" ht="15.75" customHeight="1">
      <c r="G24" s="97"/>
    </row>
    <row r="25" ht="15.75" customHeight="1">
      <c r="G25" s="97"/>
    </row>
    <row r="26" ht="15.75" customHeight="1">
      <c r="G26" s="97"/>
    </row>
    <row r="27" ht="15.75" customHeight="1">
      <c r="G27" s="97"/>
    </row>
    <row r="28" ht="15.75" customHeight="1">
      <c r="G28" s="97"/>
    </row>
    <row r="29" ht="15.75" customHeight="1">
      <c r="G29" s="97"/>
    </row>
    <row r="30" ht="15.75" customHeight="1">
      <c r="G30" s="97"/>
    </row>
    <row r="31" ht="15.75" customHeight="1">
      <c r="G31" s="97"/>
    </row>
    <row r="32" ht="15.75" customHeight="1">
      <c r="G32" s="97"/>
    </row>
    <row r="33" ht="15.75" customHeight="1">
      <c r="G33" s="97"/>
    </row>
    <row r="34" ht="15.75" customHeight="1">
      <c r="G34" s="97"/>
    </row>
    <row r="35" ht="15.75" customHeight="1">
      <c r="G35" s="97"/>
    </row>
    <row r="36" ht="15.75" customHeight="1">
      <c r="G36" s="97"/>
    </row>
    <row r="37" ht="15.75" customHeight="1">
      <c r="G37" s="97"/>
    </row>
    <row r="38" ht="15.75" customHeight="1">
      <c r="G38" s="97"/>
    </row>
    <row r="39" ht="15.75" customHeight="1">
      <c r="G39" s="97"/>
    </row>
    <row r="40" ht="15.75" customHeight="1">
      <c r="G40" s="97"/>
    </row>
    <row r="41" ht="15.75" customHeight="1">
      <c r="G41" s="97"/>
    </row>
    <row r="42" ht="15.75" customHeight="1">
      <c r="G42" s="97"/>
    </row>
    <row r="43" ht="15.75" customHeight="1">
      <c r="G43" s="97"/>
    </row>
    <row r="44" ht="15.75" customHeight="1">
      <c r="G44" s="97"/>
    </row>
    <row r="45" ht="15.75" customHeight="1">
      <c r="G45" s="97"/>
    </row>
    <row r="46" ht="15.75" customHeight="1">
      <c r="G46" s="97"/>
    </row>
    <row r="47" ht="15.75" customHeight="1">
      <c r="G47" s="97"/>
    </row>
    <row r="48" ht="15.75" customHeight="1">
      <c r="G48" s="97"/>
    </row>
    <row r="49" ht="15.75" customHeight="1">
      <c r="G49" s="97"/>
    </row>
    <row r="50" ht="15.75" customHeight="1">
      <c r="G50" s="97"/>
    </row>
    <row r="51" ht="15.75" customHeight="1">
      <c r="G51" s="97"/>
    </row>
    <row r="52" ht="15.75" customHeight="1">
      <c r="G52" s="97"/>
    </row>
    <row r="53" ht="15.75" customHeight="1">
      <c r="G53" s="97"/>
    </row>
    <row r="54" ht="15.75" customHeight="1">
      <c r="G54" s="97"/>
    </row>
    <row r="55" ht="15.75" customHeight="1">
      <c r="G55" s="97"/>
    </row>
    <row r="56" ht="15.75" customHeight="1">
      <c r="G56" s="97"/>
    </row>
    <row r="57" ht="15.75" customHeight="1">
      <c r="G57" s="97"/>
    </row>
    <row r="58" ht="15.75" customHeight="1">
      <c r="G58" s="97"/>
    </row>
    <row r="59" ht="15.75" customHeight="1">
      <c r="G59" s="97"/>
    </row>
    <row r="60" ht="15.75" customHeight="1">
      <c r="G60" s="97"/>
    </row>
    <row r="61" ht="15.75" customHeight="1">
      <c r="G61" s="97"/>
    </row>
    <row r="62" ht="15.75" customHeight="1">
      <c r="G62" s="97"/>
    </row>
    <row r="63" ht="15.75" customHeight="1">
      <c r="G63" s="97"/>
    </row>
    <row r="64" ht="15.75" customHeight="1">
      <c r="G64" s="97"/>
    </row>
    <row r="65" ht="15.75" customHeight="1">
      <c r="G65" s="97"/>
    </row>
    <row r="66" ht="15.75" customHeight="1">
      <c r="G66" s="97"/>
    </row>
    <row r="67" ht="15.75" customHeight="1">
      <c r="G67" s="97"/>
    </row>
    <row r="68" ht="15.75" customHeight="1">
      <c r="G68" s="97"/>
    </row>
    <row r="69" ht="15.75" customHeight="1">
      <c r="G69" s="97"/>
    </row>
    <row r="70" ht="15.75" customHeight="1">
      <c r="G70" s="97"/>
    </row>
    <row r="71" ht="15.75" customHeight="1">
      <c r="G71" s="97"/>
    </row>
    <row r="72" ht="15.75" customHeight="1">
      <c r="G72" s="97"/>
    </row>
    <row r="73" ht="15.75" customHeight="1">
      <c r="G73" s="97"/>
    </row>
    <row r="74" ht="15.75" customHeight="1">
      <c r="G74" s="97"/>
    </row>
    <row r="75" ht="15.75" customHeight="1">
      <c r="G75" s="97"/>
    </row>
    <row r="76" ht="15.75" customHeight="1">
      <c r="G76" s="97"/>
    </row>
    <row r="77" ht="15.75" customHeight="1">
      <c r="G77" s="97"/>
    </row>
    <row r="78" ht="15.75" customHeight="1">
      <c r="G78" s="97"/>
    </row>
    <row r="79" ht="15.75" customHeight="1">
      <c r="G79" s="97"/>
    </row>
    <row r="80" ht="15.75" customHeight="1">
      <c r="G80" s="97"/>
    </row>
    <row r="81" ht="15.75" customHeight="1">
      <c r="G81" s="97"/>
    </row>
    <row r="82" ht="15.75" customHeight="1">
      <c r="G82" s="97"/>
    </row>
    <row r="83" ht="15.75" customHeight="1">
      <c r="G83" s="97"/>
    </row>
    <row r="84" ht="15.75" customHeight="1">
      <c r="G84" s="97"/>
    </row>
    <row r="85" ht="15.75" customHeight="1">
      <c r="G85" s="97"/>
    </row>
    <row r="86" ht="15.75" customHeight="1">
      <c r="G86" s="97"/>
    </row>
    <row r="87" ht="15.75" customHeight="1">
      <c r="G87" s="97"/>
    </row>
    <row r="88" ht="15.75" customHeight="1">
      <c r="G88" s="97"/>
    </row>
    <row r="89" ht="15.75" customHeight="1">
      <c r="G89" s="97"/>
    </row>
    <row r="90" ht="15.75" customHeight="1">
      <c r="G90" s="97"/>
    </row>
    <row r="91" ht="15.75" customHeight="1">
      <c r="G91" s="97"/>
    </row>
    <row r="92" ht="15.75" customHeight="1">
      <c r="G92" s="97"/>
    </row>
    <row r="93" ht="15.75" customHeight="1">
      <c r="G93" s="97"/>
    </row>
    <row r="94" ht="15.75" customHeight="1">
      <c r="G94" s="97"/>
    </row>
    <row r="95" ht="15.75" customHeight="1">
      <c r="G95" s="97"/>
    </row>
    <row r="96" ht="15.75" customHeight="1">
      <c r="G96" s="97"/>
    </row>
    <row r="97" ht="15.75" customHeight="1">
      <c r="G97" s="97"/>
    </row>
    <row r="98" ht="15.75" customHeight="1">
      <c r="G98" s="97"/>
    </row>
    <row r="99" ht="15.75" customHeight="1">
      <c r="G99" s="97"/>
    </row>
    <row r="100" ht="15.75" customHeight="1">
      <c r="G100" s="97"/>
    </row>
    <row r="101" ht="15.75" customHeight="1">
      <c r="G101" s="97"/>
    </row>
    <row r="102" ht="15.75" customHeight="1">
      <c r="G102" s="97"/>
    </row>
    <row r="103" ht="15.75" customHeight="1">
      <c r="G103" s="97"/>
    </row>
    <row r="104" ht="15.75" customHeight="1">
      <c r="G104" s="97"/>
    </row>
    <row r="105" ht="15.75" customHeight="1">
      <c r="G105" s="97"/>
    </row>
    <row r="106" ht="15.75" customHeight="1">
      <c r="G106" s="97"/>
    </row>
    <row r="107" ht="15.75" customHeight="1">
      <c r="G107" s="97"/>
    </row>
    <row r="108" ht="15.75" customHeight="1">
      <c r="G108" s="97"/>
    </row>
    <row r="109" ht="15.75" customHeight="1">
      <c r="G109" s="97"/>
    </row>
    <row r="110" ht="15.75" customHeight="1">
      <c r="G110" s="97"/>
    </row>
    <row r="111" ht="15.75" customHeight="1">
      <c r="G111" s="97"/>
    </row>
    <row r="112" ht="15.75" customHeight="1">
      <c r="G112" s="97"/>
    </row>
    <row r="113" ht="15.75" customHeight="1">
      <c r="G113" s="97"/>
    </row>
    <row r="114" ht="15.75" customHeight="1">
      <c r="G114" s="97"/>
    </row>
    <row r="115" ht="15.75" customHeight="1">
      <c r="G115" s="97"/>
    </row>
    <row r="116" ht="15.75" customHeight="1">
      <c r="G116" s="97"/>
    </row>
    <row r="117" ht="15.75" customHeight="1">
      <c r="G117" s="97"/>
    </row>
    <row r="118" ht="15.75" customHeight="1">
      <c r="G118" s="97"/>
    </row>
    <row r="119" ht="15.75" customHeight="1">
      <c r="G119" s="97"/>
    </row>
    <row r="120" ht="15.75" customHeight="1">
      <c r="G120" s="97"/>
    </row>
    <row r="121" ht="15.75" customHeight="1">
      <c r="G121" s="97"/>
    </row>
    <row r="122" ht="15.75" customHeight="1">
      <c r="G122" s="97"/>
    </row>
    <row r="123" ht="15.75" customHeight="1">
      <c r="G123" s="97"/>
    </row>
    <row r="124" ht="15.75" customHeight="1">
      <c r="G124" s="97"/>
    </row>
    <row r="125" ht="15.75" customHeight="1">
      <c r="G125" s="97"/>
    </row>
    <row r="126" ht="15.75" customHeight="1">
      <c r="G126" s="97"/>
    </row>
    <row r="127" ht="15.75" customHeight="1">
      <c r="G127" s="97"/>
    </row>
    <row r="128" ht="15.75" customHeight="1">
      <c r="G128" s="97"/>
    </row>
    <row r="129" ht="15.75" customHeight="1">
      <c r="G129" s="97"/>
    </row>
    <row r="130" ht="15.75" customHeight="1">
      <c r="G130" s="97"/>
    </row>
    <row r="131" ht="15.75" customHeight="1">
      <c r="G131" s="97"/>
    </row>
    <row r="132" ht="15.75" customHeight="1">
      <c r="G132" s="97"/>
    </row>
    <row r="133" ht="15.75" customHeight="1">
      <c r="G133" s="97"/>
    </row>
    <row r="134" ht="15.75" customHeight="1">
      <c r="G134" s="97"/>
    </row>
    <row r="135" ht="15.75" customHeight="1">
      <c r="G135" s="97"/>
    </row>
    <row r="136" ht="15.75" customHeight="1">
      <c r="G136" s="97"/>
    </row>
    <row r="137" ht="15.75" customHeight="1">
      <c r="G137" s="97"/>
    </row>
    <row r="138" ht="15.75" customHeight="1">
      <c r="G138" s="97"/>
    </row>
    <row r="139" ht="15.75" customHeight="1">
      <c r="G139" s="97"/>
    </row>
    <row r="140" ht="15.75" customHeight="1">
      <c r="G140" s="97"/>
    </row>
    <row r="141" ht="15.75" customHeight="1">
      <c r="G141" s="97"/>
    </row>
    <row r="142" ht="15.75" customHeight="1">
      <c r="G142" s="97"/>
    </row>
    <row r="143" ht="15.75" customHeight="1">
      <c r="G143" s="97"/>
    </row>
    <row r="144" ht="15.75" customHeight="1">
      <c r="G144" s="97"/>
    </row>
    <row r="145" ht="15.75" customHeight="1">
      <c r="G145" s="97"/>
    </row>
    <row r="146" ht="15.75" customHeight="1">
      <c r="G146" s="97"/>
    </row>
    <row r="147" ht="15.75" customHeight="1">
      <c r="G147" s="97"/>
    </row>
    <row r="148" ht="15.75" customHeight="1">
      <c r="G148" s="97"/>
    </row>
    <row r="149" ht="15.75" customHeight="1">
      <c r="G149" s="97"/>
    </row>
    <row r="150" ht="15.75" customHeight="1">
      <c r="G150" s="97"/>
    </row>
    <row r="151" ht="15.75" customHeight="1">
      <c r="G151" s="97"/>
    </row>
    <row r="152" ht="15.75" customHeight="1">
      <c r="G152" s="97"/>
    </row>
    <row r="153" ht="15.75" customHeight="1">
      <c r="G153" s="97"/>
    </row>
    <row r="154" ht="15.75" customHeight="1">
      <c r="G154" s="97"/>
    </row>
    <row r="155" ht="15.75" customHeight="1">
      <c r="G155" s="97"/>
    </row>
    <row r="156" ht="15.75" customHeight="1">
      <c r="G156" s="97"/>
    </row>
    <row r="157" ht="15.75" customHeight="1">
      <c r="G157" s="97"/>
    </row>
    <row r="158" ht="15.75" customHeight="1">
      <c r="G158" s="97"/>
    </row>
    <row r="159" ht="15.75" customHeight="1">
      <c r="G159" s="97"/>
    </row>
    <row r="160" ht="15.75" customHeight="1">
      <c r="G160" s="97"/>
    </row>
    <row r="161" ht="15.75" customHeight="1">
      <c r="G161" s="97"/>
    </row>
    <row r="162" ht="15.75" customHeight="1">
      <c r="G162" s="97"/>
    </row>
    <row r="163" ht="15.75" customHeight="1">
      <c r="G163" s="97"/>
    </row>
    <row r="164" ht="15.75" customHeight="1">
      <c r="G164" s="97"/>
    </row>
    <row r="165" ht="15.75" customHeight="1">
      <c r="G165" s="97"/>
    </row>
    <row r="166" ht="15.75" customHeight="1">
      <c r="G166" s="97"/>
    </row>
    <row r="167" ht="15.75" customHeight="1">
      <c r="G167" s="97"/>
    </row>
    <row r="168" ht="15.75" customHeight="1">
      <c r="G168" s="97"/>
    </row>
    <row r="169" ht="15.75" customHeight="1">
      <c r="G169" s="97"/>
    </row>
    <row r="170" ht="15.75" customHeight="1">
      <c r="G170" s="97"/>
    </row>
    <row r="171" ht="15.75" customHeight="1">
      <c r="G171" s="97"/>
    </row>
    <row r="172" ht="15.75" customHeight="1">
      <c r="G172" s="97"/>
    </row>
    <row r="173" ht="15.75" customHeight="1">
      <c r="G173" s="97"/>
    </row>
    <row r="174" ht="15.75" customHeight="1">
      <c r="G174" s="97"/>
    </row>
    <row r="175" ht="15.75" customHeight="1">
      <c r="G175" s="97"/>
    </row>
    <row r="176" ht="15.75" customHeight="1">
      <c r="G176" s="97"/>
    </row>
    <row r="177" ht="15.75" customHeight="1">
      <c r="G177" s="97"/>
    </row>
    <row r="178" ht="15.75" customHeight="1">
      <c r="G178" s="97"/>
    </row>
    <row r="179" ht="15.75" customHeight="1">
      <c r="G179" s="97"/>
    </row>
    <row r="180" ht="15.75" customHeight="1">
      <c r="G180" s="97"/>
    </row>
    <row r="181" ht="15.75" customHeight="1">
      <c r="G181" s="97"/>
    </row>
    <row r="182" ht="15.75" customHeight="1">
      <c r="G182" s="97"/>
    </row>
    <row r="183" ht="15.75" customHeight="1">
      <c r="G183" s="97"/>
    </row>
    <row r="184" ht="15.75" customHeight="1">
      <c r="G184" s="97"/>
    </row>
    <row r="185" ht="15.75" customHeight="1">
      <c r="G185" s="97"/>
    </row>
    <row r="186" ht="15.75" customHeight="1">
      <c r="G186" s="97"/>
    </row>
    <row r="187" ht="15.75" customHeight="1">
      <c r="G187" s="97"/>
    </row>
    <row r="188" ht="15.75" customHeight="1">
      <c r="G188" s="97"/>
    </row>
    <row r="189" ht="15.75" customHeight="1">
      <c r="G189" s="97"/>
    </row>
    <row r="190" ht="15.75" customHeight="1">
      <c r="G190" s="97"/>
    </row>
    <row r="191" ht="15.75" customHeight="1">
      <c r="G191" s="97"/>
    </row>
    <row r="192" ht="15.75" customHeight="1">
      <c r="G192" s="97"/>
    </row>
    <row r="193" ht="15.75" customHeight="1">
      <c r="G193" s="97"/>
    </row>
    <row r="194" ht="15.75" customHeight="1">
      <c r="G194" s="97"/>
    </row>
    <row r="195" ht="15.75" customHeight="1">
      <c r="G195" s="97"/>
    </row>
    <row r="196" ht="15.75" customHeight="1">
      <c r="G196" s="97"/>
    </row>
    <row r="197" ht="15.75" customHeight="1">
      <c r="G197" s="97"/>
    </row>
    <row r="198" ht="15.75" customHeight="1">
      <c r="G198" s="97"/>
    </row>
    <row r="199" ht="15.75" customHeight="1">
      <c r="G199" s="97"/>
    </row>
    <row r="200" ht="15.75" customHeight="1">
      <c r="G200" s="97"/>
    </row>
    <row r="201" ht="15.75" customHeight="1">
      <c r="G201" s="97"/>
    </row>
    <row r="202" ht="15.75" customHeight="1">
      <c r="G202" s="97"/>
    </row>
    <row r="203" ht="15.75" customHeight="1">
      <c r="G203" s="97"/>
    </row>
    <row r="204" ht="15.75" customHeight="1">
      <c r="G204" s="97"/>
    </row>
    <row r="205" ht="15.75" customHeight="1">
      <c r="G205" s="97"/>
    </row>
    <row r="206" ht="15.75" customHeight="1">
      <c r="G206" s="97"/>
    </row>
    <row r="207" ht="15.75" customHeight="1">
      <c r="G207" s="97"/>
    </row>
    <row r="208" ht="15.75" customHeight="1">
      <c r="G208" s="97"/>
    </row>
    <row r="209" ht="15.75" customHeight="1">
      <c r="G209" s="97"/>
    </row>
    <row r="210" ht="15.75" customHeight="1">
      <c r="G210" s="97"/>
    </row>
    <row r="211" ht="15.75" customHeight="1">
      <c r="G211" s="97"/>
    </row>
    <row r="212" ht="15.75" customHeight="1">
      <c r="G212" s="97"/>
    </row>
    <row r="213" ht="15.75" customHeight="1">
      <c r="G213" s="97"/>
    </row>
    <row r="214" ht="15.75" customHeight="1">
      <c r="G214" s="97"/>
    </row>
    <row r="215" ht="15.75" customHeight="1">
      <c r="G215" s="97"/>
    </row>
    <row r="216" ht="15.75" customHeight="1">
      <c r="G216" s="97"/>
    </row>
    <row r="217" ht="15.75" customHeight="1">
      <c r="G217" s="97"/>
    </row>
    <row r="218" ht="15.75" customHeight="1">
      <c r="G218" s="97"/>
    </row>
    <row r="219" ht="15.75" customHeight="1">
      <c r="G219" s="97"/>
    </row>
    <row r="220" ht="15.75" customHeight="1">
      <c r="G220" s="97"/>
    </row>
    <row r="221" ht="15.75" customHeight="1">
      <c r="G221" s="97"/>
    </row>
    <row r="222" ht="15.75" customHeight="1">
      <c r="G222" s="97"/>
    </row>
    <row r="223" ht="15.75" customHeight="1">
      <c r="G223" s="97"/>
    </row>
    <row r="224" ht="15.75" customHeight="1">
      <c r="G224" s="97"/>
    </row>
    <row r="225" ht="15.75" customHeight="1">
      <c r="G225" s="97"/>
    </row>
    <row r="226" ht="15.75" customHeight="1">
      <c r="G226" s="97"/>
    </row>
    <row r="227" ht="15.75" customHeight="1">
      <c r="G227" s="97"/>
    </row>
    <row r="228" ht="15.75" customHeight="1">
      <c r="G228" s="97"/>
    </row>
    <row r="229" ht="15.75" customHeight="1">
      <c r="G229" s="97"/>
    </row>
    <row r="230" ht="15.75" customHeight="1">
      <c r="G230" s="97"/>
    </row>
    <row r="231" ht="15.75" customHeight="1">
      <c r="G231" s="97"/>
    </row>
    <row r="232" ht="15.75" customHeight="1">
      <c r="G232" s="97"/>
    </row>
    <row r="233" ht="15.75" customHeight="1">
      <c r="G233" s="97"/>
    </row>
    <row r="234" ht="15.75" customHeight="1">
      <c r="G234" s="97"/>
    </row>
    <row r="235" ht="15.75" customHeight="1">
      <c r="G235" s="97"/>
    </row>
    <row r="236" ht="15.75" customHeight="1">
      <c r="G236" s="97"/>
    </row>
    <row r="237" ht="15.75" customHeight="1">
      <c r="G237" s="97"/>
    </row>
    <row r="238" ht="15.75" customHeight="1">
      <c r="G238" s="97"/>
    </row>
    <row r="239" ht="15.75" customHeight="1">
      <c r="G239" s="97"/>
    </row>
    <row r="240" ht="15.75" customHeight="1">
      <c r="G240" s="97"/>
    </row>
    <row r="241" ht="15.75" customHeight="1">
      <c r="G241" s="97"/>
    </row>
    <row r="242" ht="15.75" customHeight="1">
      <c r="G242" s="97"/>
    </row>
    <row r="243" ht="15.75" customHeight="1">
      <c r="G243" s="97"/>
    </row>
    <row r="244" ht="15.75" customHeight="1">
      <c r="G244" s="97"/>
    </row>
    <row r="245" ht="15.75" customHeight="1">
      <c r="G245" s="97"/>
    </row>
    <row r="246" ht="15.75" customHeight="1">
      <c r="G246" s="97"/>
    </row>
    <row r="247" ht="15.75" customHeight="1">
      <c r="G247" s="97"/>
    </row>
    <row r="248" ht="15.75" customHeight="1">
      <c r="G248" s="97"/>
    </row>
    <row r="249" ht="15.75" customHeight="1">
      <c r="G249" s="97"/>
    </row>
    <row r="250" ht="15.75" customHeight="1">
      <c r="G250" s="97"/>
    </row>
    <row r="251" ht="15.75" customHeight="1">
      <c r="G251" s="97"/>
    </row>
    <row r="252" ht="15.75" customHeight="1">
      <c r="G252" s="97"/>
    </row>
    <row r="253" ht="15.75" customHeight="1">
      <c r="G253" s="97"/>
    </row>
    <row r="254" ht="15.75" customHeight="1">
      <c r="G254" s="97"/>
    </row>
    <row r="255" ht="15.75" customHeight="1">
      <c r="G255" s="97"/>
    </row>
    <row r="256" ht="15.75" customHeight="1">
      <c r="G256" s="97"/>
    </row>
    <row r="257" ht="15.75" customHeight="1">
      <c r="G257" s="97"/>
    </row>
    <row r="258" ht="15.75" customHeight="1">
      <c r="G258" s="97"/>
    </row>
    <row r="259" ht="15.75" customHeight="1">
      <c r="G259" s="97"/>
    </row>
    <row r="260" ht="15.75" customHeight="1">
      <c r="G260" s="97"/>
    </row>
    <row r="261" ht="15.75" customHeight="1">
      <c r="G261" s="97"/>
    </row>
    <row r="262" ht="15.75" customHeight="1">
      <c r="G262" s="97"/>
    </row>
    <row r="263" ht="15.75" customHeight="1">
      <c r="G263" s="97"/>
    </row>
    <row r="264" ht="15.75" customHeight="1">
      <c r="G264" s="97"/>
    </row>
    <row r="265" ht="15.75" customHeight="1">
      <c r="G265" s="97"/>
    </row>
    <row r="266" ht="15.75" customHeight="1">
      <c r="G266" s="97"/>
    </row>
    <row r="267" ht="15.75" customHeight="1">
      <c r="G267" s="97"/>
    </row>
    <row r="268" ht="15.75" customHeight="1">
      <c r="G268" s="97"/>
    </row>
    <row r="269" ht="15.75" customHeight="1">
      <c r="G269" s="97"/>
    </row>
    <row r="270" ht="15.75" customHeight="1">
      <c r="G270" s="97"/>
    </row>
    <row r="271" ht="15.75" customHeight="1">
      <c r="G271" s="97"/>
    </row>
    <row r="272" ht="15.75" customHeight="1">
      <c r="G272" s="97"/>
    </row>
    <row r="273" ht="15.75" customHeight="1">
      <c r="G273" s="97"/>
    </row>
    <row r="274" ht="15.75" customHeight="1">
      <c r="G274" s="97"/>
    </row>
    <row r="275" ht="15.75" customHeight="1">
      <c r="G275" s="97"/>
    </row>
    <row r="276" ht="15.75" customHeight="1">
      <c r="G276" s="97"/>
    </row>
    <row r="277" ht="15.75" customHeight="1">
      <c r="G277" s="97"/>
    </row>
    <row r="278" ht="15.75" customHeight="1">
      <c r="G278" s="97"/>
    </row>
    <row r="279" ht="15.75" customHeight="1">
      <c r="G279" s="97"/>
    </row>
    <row r="280" ht="15.75" customHeight="1">
      <c r="G280" s="97"/>
    </row>
    <row r="281" ht="15.75" customHeight="1">
      <c r="G281" s="97"/>
    </row>
    <row r="282" ht="15.75" customHeight="1">
      <c r="G282" s="97"/>
    </row>
    <row r="283" ht="15.75" customHeight="1">
      <c r="G283" s="97"/>
    </row>
    <row r="284" ht="15.75" customHeight="1">
      <c r="G284" s="97"/>
    </row>
    <row r="285" ht="15.75" customHeight="1">
      <c r="G285" s="97"/>
    </row>
    <row r="286" ht="15.75" customHeight="1">
      <c r="G286" s="97"/>
    </row>
    <row r="287" ht="15.75" customHeight="1">
      <c r="G287" s="97"/>
    </row>
    <row r="288" ht="15.75" customHeight="1">
      <c r="G288" s="97"/>
    </row>
    <row r="289" ht="15.75" customHeight="1">
      <c r="G289" s="97"/>
    </row>
    <row r="290" ht="15.75" customHeight="1">
      <c r="G290" s="97"/>
    </row>
    <row r="291" ht="15.75" customHeight="1">
      <c r="G291" s="97"/>
    </row>
    <row r="292" ht="15.75" customHeight="1">
      <c r="G292" s="97"/>
    </row>
    <row r="293" ht="15.75" customHeight="1">
      <c r="G293" s="97"/>
    </row>
    <row r="294" ht="15.75" customHeight="1">
      <c r="G294" s="97"/>
    </row>
    <row r="295" ht="15.75" customHeight="1">
      <c r="G295" s="97"/>
    </row>
    <row r="296" ht="15.75" customHeight="1">
      <c r="G296" s="97"/>
    </row>
    <row r="297" ht="15.75" customHeight="1">
      <c r="G297" s="97"/>
    </row>
    <row r="298" ht="15.75" customHeight="1">
      <c r="G298" s="97"/>
    </row>
    <row r="299" ht="15.75" customHeight="1">
      <c r="G299" s="97"/>
    </row>
    <row r="300" ht="15.75" customHeight="1">
      <c r="G300" s="97"/>
    </row>
    <row r="301" ht="15.75" customHeight="1">
      <c r="G301" s="97"/>
    </row>
    <row r="302" ht="15.75" customHeight="1">
      <c r="G302" s="97"/>
    </row>
    <row r="303" ht="15.75" customHeight="1">
      <c r="G303" s="97"/>
    </row>
    <row r="304" ht="15.75" customHeight="1">
      <c r="G304" s="97"/>
    </row>
    <row r="305" ht="15.75" customHeight="1">
      <c r="G305" s="97"/>
    </row>
    <row r="306" ht="15.75" customHeight="1">
      <c r="G306" s="97"/>
    </row>
    <row r="307" ht="15.75" customHeight="1">
      <c r="G307" s="97"/>
    </row>
    <row r="308" ht="15.75" customHeight="1">
      <c r="G308" s="97"/>
    </row>
    <row r="309" ht="15.75" customHeight="1">
      <c r="G309" s="97"/>
    </row>
    <row r="310" ht="15.75" customHeight="1">
      <c r="G310" s="97"/>
    </row>
    <row r="311" ht="15.75" customHeight="1">
      <c r="G311" s="97"/>
    </row>
    <row r="312" ht="15.75" customHeight="1">
      <c r="G312" s="97"/>
    </row>
    <row r="313" ht="15.75" customHeight="1">
      <c r="G313" s="97"/>
    </row>
    <row r="314" ht="15.75" customHeight="1">
      <c r="G314" s="97"/>
    </row>
    <row r="315" ht="15.75" customHeight="1">
      <c r="G315" s="97"/>
    </row>
    <row r="316" ht="15.75" customHeight="1">
      <c r="G316" s="97"/>
    </row>
    <row r="317" ht="15.75" customHeight="1">
      <c r="G317" s="97"/>
    </row>
    <row r="318" ht="15.75" customHeight="1">
      <c r="G318" s="97"/>
    </row>
    <row r="319" ht="15.75" customHeight="1">
      <c r="G319" s="97"/>
    </row>
    <row r="320" ht="15.75" customHeight="1">
      <c r="G320" s="97"/>
    </row>
    <row r="321" ht="15.75" customHeight="1">
      <c r="G321" s="97"/>
    </row>
    <row r="322" ht="15.75" customHeight="1">
      <c r="G322" s="97"/>
    </row>
    <row r="323" ht="15.75" customHeight="1">
      <c r="G323" s="97"/>
    </row>
    <row r="324" ht="15.75" customHeight="1">
      <c r="G324" s="97"/>
    </row>
    <row r="325" ht="15.75" customHeight="1">
      <c r="G325" s="97"/>
    </row>
    <row r="326" ht="15.75" customHeight="1">
      <c r="G326" s="97"/>
    </row>
    <row r="327" ht="15.75" customHeight="1">
      <c r="G327" s="97"/>
    </row>
    <row r="328" ht="15.75" customHeight="1">
      <c r="G328" s="97"/>
    </row>
    <row r="329" ht="15.75" customHeight="1">
      <c r="G329" s="97"/>
    </row>
    <row r="330" ht="15.75" customHeight="1">
      <c r="G330" s="97"/>
    </row>
    <row r="331" ht="15.75" customHeight="1">
      <c r="G331" s="97"/>
    </row>
    <row r="332" ht="15.75" customHeight="1">
      <c r="G332" s="97"/>
    </row>
    <row r="333" ht="15.75" customHeight="1">
      <c r="G333" s="97"/>
    </row>
    <row r="334" ht="15.75" customHeight="1">
      <c r="G334" s="97"/>
    </row>
    <row r="335" ht="15.75" customHeight="1">
      <c r="G335" s="97"/>
    </row>
    <row r="336" ht="15.75" customHeight="1">
      <c r="G336" s="97"/>
    </row>
    <row r="337" ht="15.75" customHeight="1">
      <c r="G337" s="97"/>
    </row>
    <row r="338" ht="15.75" customHeight="1">
      <c r="G338" s="97"/>
    </row>
    <row r="339" ht="15.75" customHeight="1">
      <c r="G339" s="97"/>
    </row>
    <row r="340" ht="15.75" customHeight="1">
      <c r="G340" s="97"/>
    </row>
    <row r="341" ht="15.75" customHeight="1">
      <c r="G341" s="97"/>
    </row>
    <row r="342" ht="15.75" customHeight="1">
      <c r="G342" s="97"/>
    </row>
    <row r="343" ht="15.75" customHeight="1">
      <c r="G343" s="97"/>
    </row>
    <row r="344" ht="15.75" customHeight="1">
      <c r="G344" s="97"/>
    </row>
    <row r="345" ht="15.75" customHeight="1">
      <c r="G345" s="97"/>
    </row>
    <row r="346" ht="15.75" customHeight="1">
      <c r="G346" s="97"/>
    </row>
    <row r="347" ht="15.75" customHeight="1">
      <c r="G347" s="97"/>
    </row>
    <row r="348" ht="15.75" customHeight="1">
      <c r="G348" s="97"/>
    </row>
    <row r="349" ht="15.75" customHeight="1">
      <c r="G349" s="97"/>
    </row>
    <row r="350" ht="15.75" customHeight="1">
      <c r="G350" s="97"/>
    </row>
    <row r="351" ht="15.75" customHeight="1">
      <c r="G351" s="97"/>
    </row>
    <row r="352" ht="15.75" customHeight="1">
      <c r="G352" s="97"/>
    </row>
    <row r="353" ht="15.75" customHeight="1">
      <c r="G353" s="97"/>
    </row>
    <row r="354" ht="15.75" customHeight="1">
      <c r="G354" s="97"/>
    </row>
    <row r="355" ht="15.75" customHeight="1">
      <c r="G355" s="97"/>
    </row>
    <row r="356" ht="15.75" customHeight="1">
      <c r="G356" s="97"/>
    </row>
    <row r="357" ht="15.75" customHeight="1">
      <c r="G357" s="97"/>
    </row>
    <row r="358" ht="15.75" customHeight="1">
      <c r="G358" s="97"/>
    </row>
    <row r="359" ht="15.75" customHeight="1">
      <c r="G359" s="97"/>
    </row>
    <row r="360" ht="15.75" customHeight="1">
      <c r="G360" s="97"/>
    </row>
    <row r="361" ht="15.75" customHeight="1">
      <c r="G361" s="97"/>
    </row>
    <row r="362" ht="15.75" customHeight="1">
      <c r="G362" s="97"/>
    </row>
    <row r="363" ht="15.75" customHeight="1">
      <c r="G363" s="97"/>
    </row>
    <row r="364" ht="15.75" customHeight="1">
      <c r="G364" s="97"/>
    </row>
    <row r="365" ht="15.75" customHeight="1">
      <c r="G365" s="97"/>
    </row>
    <row r="366" ht="15.75" customHeight="1">
      <c r="G366" s="97"/>
    </row>
    <row r="367" ht="15.75" customHeight="1">
      <c r="G367" s="97"/>
    </row>
    <row r="368" ht="15.75" customHeight="1">
      <c r="G368" s="97"/>
    </row>
    <row r="369" ht="15.75" customHeight="1">
      <c r="G369" s="97"/>
    </row>
    <row r="370" ht="15.75" customHeight="1">
      <c r="G370" s="97"/>
    </row>
    <row r="371" ht="15.75" customHeight="1">
      <c r="G371" s="97"/>
    </row>
    <row r="372" ht="15.75" customHeight="1">
      <c r="G372" s="97"/>
    </row>
    <row r="373" ht="15.75" customHeight="1">
      <c r="G373" s="97"/>
    </row>
    <row r="374" ht="15.75" customHeight="1">
      <c r="G374" s="97"/>
    </row>
    <row r="375" ht="15.75" customHeight="1">
      <c r="G375" s="97"/>
    </row>
    <row r="376" ht="15.75" customHeight="1">
      <c r="G376" s="97"/>
    </row>
    <row r="377" ht="15.75" customHeight="1">
      <c r="G377" s="97"/>
    </row>
    <row r="378" ht="15.75" customHeight="1">
      <c r="G378" s="97"/>
    </row>
    <row r="379" ht="15.75" customHeight="1">
      <c r="G379" s="97"/>
    </row>
    <row r="380" ht="15.75" customHeight="1">
      <c r="G380" s="97"/>
    </row>
    <row r="381" ht="15.75" customHeight="1">
      <c r="G381" s="97"/>
    </row>
    <row r="382" ht="15.75" customHeight="1">
      <c r="G382" s="97"/>
    </row>
    <row r="383" ht="15.75" customHeight="1">
      <c r="G383" s="97"/>
    </row>
    <row r="384" ht="15.75" customHeight="1">
      <c r="G384" s="97"/>
    </row>
    <row r="385" ht="15.75" customHeight="1">
      <c r="G385" s="97"/>
    </row>
    <row r="386" ht="15.75" customHeight="1">
      <c r="G386" s="97"/>
    </row>
    <row r="387" ht="15.75" customHeight="1">
      <c r="G387" s="97"/>
    </row>
    <row r="388" ht="15.75" customHeight="1">
      <c r="G388" s="97"/>
    </row>
    <row r="389" ht="15.75" customHeight="1">
      <c r="G389" s="97"/>
    </row>
    <row r="390" ht="15.75" customHeight="1">
      <c r="G390" s="97"/>
    </row>
    <row r="391" ht="15.75" customHeight="1">
      <c r="G391" s="97"/>
    </row>
    <row r="392" ht="15.75" customHeight="1">
      <c r="G392" s="97"/>
    </row>
    <row r="393" ht="15.75" customHeight="1">
      <c r="G393" s="97"/>
    </row>
    <row r="394" ht="15.75" customHeight="1">
      <c r="G394" s="97"/>
    </row>
    <row r="395" ht="15.75" customHeight="1">
      <c r="G395" s="97"/>
    </row>
    <row r="396" ht="15.75" customHeight="1">
      <c r="G396" s="97"/>
    </row>
    <row r="397" ht="15.75" customHeight="1">
      <c r="G397" s="97"/>
    </row>
    <row r="398" ht="15.75" customHeight="1">
      <c r="G398" s="97"/>
    </row>
    <row r="399" ht="15.75" customHeight="1">
      <c r="G399" s="97"/>
    </row>
    <row r="400" ht="15.75" customHeight="1">
      <c r="G400" s="97"/>
    </row>
    <row r="401" ht="15.75" customHeight="1">
      <c r="G401" s="97"/>
    </row>
    <row r="402" ht="15.75" customHeight="1">
      <c r="G402" s="97"/>
    </row>
    <row r="403" ht="15.75" customHeight="1">
      <c r="G403" s="97"/>
    </row>
    <row r="404" ht="15.75" customHeight="1">
      <c r="G404" s="97"/>
    </row>
    <row r="405" ht="15.75" customHeight="1">
      <c r="G405" s="97"/>
    </row>
    <row r="406" ht="15.75" customHeight="1">
      <c r="G406" s="97"/>
    </row>
    <row r="407" ht="15.75" customHeight="1">
      <c r="G407" s="97"/>
    </row>
    <row r="408" ht="15.75" customHeight="1">
      <c r="G408" s="97"/>
    </row>
    <row r="409" ht="15.75" customHeight="1">
      <c r="G409" s="97"/>
    </row>
    <row r="410" ht="15.75" customHeight="1">
      <c r="G410" s="97"/>
    </row>
    <row r="411" ht="15.75" customHeight="1">
      <c r="G411" s="97"/>
    </row>
    <row r="412" ht="15.75" customHeight="1">
      <c r="G412" s="97"/>
    </row>
    <row r="413" ht="15.75" customHeight="1">
      <c r="G413" s="97"/>
    </row>
    <row r="414" ht="15.75" customHeight="1">
      <c r="G414" s="97"/>
    </row>
    <row r="415" ht="15.75" customHeight="1">
      <c r="G415" s="97"/>
    </row>
    <row r="416" ht="15.75" customHeight="1">
      <c r="G416" s="97"/>
    </row>
    <row r="417" ht="15.75" customHeight="1">
      <c r="G417" s="97"/>
    </row>
    <row r="418" ht="15.75" customHeight="1">
      <c r="G418" s="97"/>
    </row>
    <row r="419" ht="15.75" customHeight="1">
      <c r="G419" s="97"/>
    </row>
    <row r="420" ht="15.75" customHeight="1">
      <c r="G420" s="97"/>
    </row>
    <row r="421" ht="15.75" customHeight="1">
      <c r="G421" s="97"/>
    </row>
    <row r="422" ht="15.75" customHeight="1">
      <c r="G422" s="97"/>
    </row>
    <row r="423" ht="15.75" customHeight="1">
      <c r="G423" s="97"/>
    </row>
    <row r="424" ht="15.75" customHeight="1">
      <c r="G424" s="97"/>
    </row>
    <row r="425" ht="15.75" customHeight="1">
      <c r="G425" s="97"/>
    </row>
    <row r="426" ht="15.75" customHeight="1">
      <c r="G426" s="97"/>
    </row>
    <row r="427" ht="15.75" customHeight="1">
      <c r="G427" s="97"/>
    </row>
    <row r="428" ht="15.75" customHeight="1">
      <c r="G428" s="97"/>
    </row>
    <row r="429" ht="15.75" customHeight="1">
      <c r="G429" s="97"/>
    </row>
    <row r="430" ht="15.75" customHeight="1">
      <c r="G430" s="97"/>
    </row>
    <row r="431" ht="15.75" customHeight="1">
      <c r="G431" s="97"/>
    </row>
    <row r="432" ht="15.75" customHeight="1">
      <c r="G432" s="97"/>
    </row>
    <row r="433" ht="15.75" customHeight="1">
      <c r="G433" s="97"/>
    </row>
    <row r="434" ht="15.75" customHeight="1">
      <c r="G434" s="97"/>
    </row>
    <row r="435" ht="15.75" customHeight="1">
      <c r="G435" s="97"/>
    </row>
    <row r="436" ht="15.75" customHeight="1">
      <c r="G436" s="97"/>
    </row>
    <row r="437" ht="15.75" customHeight="1">
      <c r="G437" s="97"/>
    </row>
    <row r="438" ht="15.75" customHeight="1">
      <c r="G438" s="97"/>
    </row>
    <row r="439" ht="15.75" customHeight="1">
      <c r="G439" s="97"/>
    </row>
    <row r="440" ht="15.75" customHeight="1">
      <c r="G440" s="97"/>
    </row>
    <row r="441" ht="15.75" customHeight="1">
      <c r="G441" s="97"/>
    </row>
    <row r="442" ht="15.75" customHeight="1">
      <c r="G442" s="97"/>
    </row>
    <row r="443" ht="15.75" customHeight="1">
      <c r="G443" s="97"/>
    </row>
    <row r="444" ht="15.75" customHeight="1">
      <c r="G444" s="97"/>
    </row>
    <row r="445" ht="15.75" customHeight="1">
      <c r="G445" s="97"/>
    </row>
    <row r="446" ht="15.75" customHeight="1">
      <c r="G446" s="97"/>
    </row>
    <row r="447" ht="15.75" customHeight="1">
      <c r="G447" s="97"/>
    </row>
    <row r="448" ht="15.75" customHeight="1">
      <c r="G448" s="97"/>
    </row>
    <row r="449" ht="15.75" customHeight="1">
      <c r="G449" s="97"/>
    </row>
    <row r="450" ht="15.75" customHeight="1">
      <c r="G450" s="97"/>
    </row>
    <row r="451" ht="15.75" customHeight="1">
      <c r="G451" s="97"/>
    </row>
    <row r="452" ht="15.75" customHeight="1">
      <c r="G452" s="97"/>
    </row>
    <row r="453" ht="15.75" customHeight="1">
      <c r="G453" s="97"/>
    </row>
    <row r="454" ht="15.75" customHeight="1">
      <c r="G454" s="97"/>
    </row>
    <row r="455" ht="15.75" customHeight="1">
      <c r="G455" s="97"/>
    </row>
    <row r="456" ht="15.75" customHeight="1">
      <c r="G456" s="97"/>
    </row>
    <row r="457" ht="15.75" customHeight="1">
      <c r="G457" s="97"/>
    </row>
    <row r="458" ht="15.75" customHeight="1">
      <c r="G458" s="97"/>
    </row>
    <row r="459" ht="15.75" customHeight="1">
      <c r="G459" s="97"/>
    </row>
    <row r="460" ht="15.75" customHeight="1">
      <c r="G460" s="97"/>
    </row>
    <row r="461" ht="15.75" customHeight="1">
      <c r="G461" s="97"/>
    </row>
    <row r="462" ht="15.75" customHeight="1">
      <c r="G462" s="97"/>
    </row>
    <row r="463" ht="15.75" customHeight="1">
      <c r="G463" s="97"/>
    </row>
    <row r="464" ht="15.75" customHeight="1">
      <c r="G464" s="97"/>
    </row>
    <row r="465" ht="15.75" customHeight="1">
      <c r="G465" s="97"/>
    </row>
    <row r="466" ht="15.75" customHeight="1">
      <c r="G466" s="97"/>
    </row>
    <row r="467" ht="15.75" customHeight="1">
      <c r="G467" s="97"/>
    </row>
    <row r="468" ht="15.75" customHeight="1">
      <c r="G468" s="97"/>
    </row>
    <row r="469" ht="15.75" customHeight="1">
      <c r="G469" s="97"/>
    </row>
    <row r="470" ht="15.75" customHeight="1">
      <c r="G470" s="97"/>
    </row>
    <row r="471" ht="15.75" customHeight="1">
      <c r="G471" s="97"/>
    </row>
    <row r="472" ht="15.75" customHeight="1">
      <c r="G472" s="97"/>
    </row>
    <row r="473" ht="15.75" customHeight="1">
      <c r="G473" s="97"/>
    </row>
    <row r="474" ht="15.75" customHeight="1">
      <c r="G474" s="97"/>
    </row>
    <row r="475" ht="15.75" customHeight="1">
      <c r="G475" s="97"/>
    </row>
    <row r="476" ht="15.75" customHeight="1">
      <c r="G476" s="97"/>
    </row>
    <row r="477" ht="15.75" customHeight="1">
      <c r="G477" s="97"/>
    </row>
    <row r="478" ht="15.75" customHeight="1">
      <c r="G478" s="97"/>
    </row>
    <row r="479" ht="15.75" customHeight="1">
      <c r="G479" s="97"/>
    </row>
    <row r="480" ht="15.75" customHeight="1">
      <c r="G480" s="97"/>
    </row>
    <row r="481" ht="15.75" customHeight="1">
      <c r="G481" s="97"/>
    </row>
    <row r="482" ht="15.75" customHeight="1">
      <c r="G482" s="97"/>
    </row>
    <row r="483" ht="15.75" customHeight="1">
      <c r="G483" s="97"/>
    </row>
    <row r="484" ht="15.75" customHeight="1">
      <c r="G484" s="97"/>
    </row>
    <row r="485" ht="15.75" customHeight="1">
      <c r="G485" s="97"/>
    </row>
    <row r="486" ht="15.75" customHeight="1">
      <c r="G486" s="97"/>
    </row>
    <row r="487" ht="15.75" customHeight="1">
      <c r="G487" s="97"/>
    </row>
    <row r="488" ht="15.75" customHeight="1">
      <c r="G488" s="97"/>
    </row>
    <row r="489" ht="15.75" customHeight="1">
      <c r="G489" s="97"/>
    </row>
    <row r="490" ht="15.75" customHeight="1">
      <c r="G490" s="97"/>
    </row>
    <row r="491" ht="15.75" customHeight="1">
      <c r="G491" s="97"/>
    </row>
    <row r="492" ht="15.75" customHeight="1">
      <c r="G492" s="97"/>
    </row>
    <row r="493" ht="15.75" customHeight="1">
      <c r="G493" s="97"/>
    </row>
    <row r="494" ht="15.75" customHeight="1">
      <c r="G494" s="97"/>
    </row>
    <row r="495" ht="15.75" customHeight="1">
      <c r="G495" s="97"/>
    </row>
    <row r="496" ht="15.75" customHeight="1">
      <c r="G496" s="97"/>
    </row>
    <row r="497" ht="15.75" customHeight="1">
      <c r="G497" s="97"/>
    </row>
    <row r="498" ht="15.75" customHeight="1">
      <c r="G498" s="97"/>
    </row>
    <row r="499" ht="15.75" customHeight="1">
      <c r="G499" s="97"/>
    </row>
    <row r="500" ht="15.75" customHeight="1">
      <c r="G500" s="97"/>
    </row>
    <row r="501" ht="15.75" customHeight="1">
      <c r="G501" s="97"/>
    </row>
    <row r="502" ht="15.75" customHeight="1">
      <c r="G502" s="97"/>
    </row>
    <row r="503" ht="15.75" customHeight="1">
      <c r="G503" s="97"/>
    </row>
    <row r="504" ht="15.75" customHeight="1">
      <c r="G504" s="97"/>
    </row>
    <row r="505" ht="15.75" customHeight="1">
      <c r="G505" s="97"/>
    </row>
    <row r="506" ht="15.75" customHeight="1">
      <c r="G506" s="97"/>
    </row>
    <row r="507" ht="15.75" customHeight="1">
      <c r="G507" s="97"/>
    </row>
    <row r="508" ht="15.75" customHeight="1">
      <c r="G508" s="97"/>
    </row>
    <row r="509" ht="15.75" customHeight="1">
      <c r="G509" s="97"/>
    </row>
    <row r="510" ht="15.75" customHeight="1">
      <c r="G510" s="97"/>
    </row>
    <row r="511" ht="15.75" customHeight="1">
      <c r="G511" s="97"/>
    </row>
    <row r="512" ht="15.75" customHeight="1">
      <c r="G512" s="97"/>
    </row>
    <row r="513" ht="15.75" customHeight="1">
      <c r="G513" s="97"/>
    </row>
    <row r="514" ht="15.75" customHeight="1">
      <c r="G514" s="97"/>
    </row>
    <row r="515" ht="15.75" customHeight="1">
      <c r="G515" s="97"/>
    </row>
    <row r="516" ht="15.75" customHeight="1">
      <c r="G516" s="97"/>
    </row>
    <row r="517" ht="15.75" customHeight="1">
      <c r="G517" s="97"/>
    </row>
    <row r="518" ht="15.75" customHeight="1">
      <c r="G518" s="97"/>
    </row>
    <row r="519" ht="15.75" customHeight="1">
      <c r="G519" s="97"/>
    </row>
    <row r="520" ht="15.75" customHeight="1">
      <c r="G520" s="97"/>
    </row>
    <row r="521" ht="15.75" customHeight="1">
      <c r="G521" s="97"/>
    </row>
    <row r="522" ht="15.75" customHeight="1">
      <c r="G522" s="97"/>
    </row>
    <row r="523" ht="15.75" customHeight="1">
      <c r="G523" s="97"/>
    </row>
    <row r="524" ht="15.75" customHeight="1">
      <c r="G524" s="97"/>
    </row>
    <row r="525" ht="15.75" customHeight="1">
      <c r="G525" s="97"/>
    </row>
    <row r="526" ht="15.75" customHeight="1">
      <c r="G526" s="97"/>
    </row>
    <row r="527" ht="15.75" customHeight="1">
      <c r="G527" s="97"/>
    </row>
    <row r="528" ht="15.75" customHeight="1">
      <c r="G528" s="97"/>
    </row>
    <row r="529" ht="15.75" customHeight="1">
      <c r="G529" s="97"/>
    </row>
    <row r="530" ht="15.75" customHeight="1">
      <c r="G530" s="97"/>
    </row>
    <row r="531" ht="15.75" customHeight="1">
      <c r="G531" s="97"/>
    </row>
    <row r="532" ht="15.75" customHeight="1">
      <c r="G532" s="97"/>
    </row>
    <row r="533" ht="15.75" customHeight="1">
      <c r="G533" s="97"/>
    </row>
    <row r="534" ht="15.75" customHeight="1">
      <c r="G534" s="97"/>
    </row>
    <row r="535" ht="15.75" customHeight="1">
      <c r="G535" s="97"/>
    </row>
    <row r="536" ht="15.75" customHeight="1">
      <c r="G536" s="97"/>
    </row>
    <row r="537" ht="15.75" customHeight="1">
      <c r="G537" s="97"/>
    </row>
    <row r="538" ht="15.75" customHeight="1">
      <c r="G538" s="97"/>
    </row>
    <row r="539" ht="15.75" customHeight="1">
      <c r="G539" s="97"/>
    </row>
    <row r="540" ht="15.75" customHeight="1">
      <c r="G540" s="97"/>
    </row>
    <row r="541" ht="15.75" customHeight="1">
      <c r="G541" s="97"/>
    </row>
    <row r="542" ht="15.75" customHeight="1">
      <c r="G542" s="97"/>
    </row>
    <row r="543" ht="15.75" customHeight="1">
      <c r="G543" s="97"/>
    </row>
    <row r="544" ht="15.75" customHeight="1">
      <c r="G544" s="97"/>
    </row>
    <row r="545" ht="15.75" customHeight="1">
      <c r="G545" s="97"/>
    </row>
    <row r="546" ht="15.75" customHeight="1">
      <c r="G546" s="97"/>
    </row>
    <row r="547" ht="15.75" customHeight="1">
      <c r="G547" s="97"/>
    </row>
    <row r="548" ht="15.75" customHeight="1">
      <c r="G548" s="97"/>
    </row>
    <row r="549" ht="15.75" customHeight="1">
      <c r="G549" s="97"/>
    </row>
    <row r="550" ht="15.75" customHeight="1">
      <c r="G550" s="97"/>
    </row>
    <row r="551" ht="15.75" customHeight="1">
      <c r="G551" s="97"/>
    </row>
    <row r="552" ht="15.75" customHeight="1">
      <c r="G552" s="97"/>
    </row>
    <row r="553" ht="15.75" customHeight="1">
      <c r="G553" s="97"/>
    </row>
    <row r="554" ht="15.75" customHeight="1">
      <c r="G554" s="97"/>
    </row>
    <row r="555" ht="15.75" customHeight="1">
      <c r="G555" s="97"/>
    </row>
    <row r="556" ht="15.75" customHeight="1">
      <c r="G556" s="97"/>
    </row>
    <row r="557" ht="15.75" customHeight="1">
      <c r="G557" s="97"/>
    </row>
    <row r="558" ht="15.75" customHeight="1">
      <c r="G558" s="97"/>
    </row>
    <row r="559" ht="15.75" customHeight="1">
      <c r="G559" s="97"/>
    </row>
    <row r="560" ht="15.75" customHeight="1">
      <c r="G560" s="97"/>
    </row>
    <row r="561" ht="15.75" customHeight="1">
      <c r="G561" s="97"/>
    </row>
    <row r="562" ht="15.75" customHeight="1">
      <c r="G562" s="97"/>
    </row>
    <row r="563" ht="15.75" customHeight="1">
      <c r="G563" s="97"/>
    </row>
    <row r="564" ht="15.75" customHeight="1">
      <c r="G564" s="97"/>
    </row>
    <row r="565" ht="15.75" customHeight="1">
      <c r="G565" s="97"/>
    </row>
    <row r="566" ht="15.75" customHeight="1">
      <c r="G566" s="97"/>
    </row>
    <row r="567" ht="15.75" customHeight="1">
      <c r="G567" s="97"/>
    </row>
    <row r="568" ht="15.75" customHeight="1">
      <c r="G568" s="97"/>
    </row>
    <row r="569" ht="15.75" customHeight="1">
      <c r="G569" s="97"/>
    </row>
    <row r="570" ht="15.75" customHeight="1">
      <c r="G570" s="97"/>
    </row>
    <row r="571" ht="15.75" customHeight="1">
      <c r="G571" s="97"/>
    </row>
    <row r="572" ht="15.75" customHeight="1">
      <c r="G572" s="97"/>
    </row>
    <row r="573" ht="15.75" customHeight="1">
      <c r="G573" s="97"/>
    </row>
    <row r="574" ht="15.75" customHeight="1">
      <c r="G574" s="97"/>
    </row>
    <row r="575" ht="15.75" customHeight="1">
      <c r="G575" s="97"/>
    </row>
    <row r="576" ht="15.75" customHeight="1">
      <c r="G576" s="97"/>
    </row>
    <row r="577" ht="15.75" customHeight="1">
      <c r="G577" s="97"/>
    </row>
    <row r="578" ht="15.75" customHeight="1">
      <c r="G578" s="97"/>
    </row>
    <row r="579" ht="15.75" customHeight="1">
      <c r="G579" s="97"/>
    </row>
    <row r="580" ht="15.75" customHeight="1">
      <c r="G580" s="97"/>
    </row>
    <row r="581" ht="15.75" customHeight="1">
      <c r="G581" s="97"/>
    </row>
    <row r="582" ht="15.75" customHeight="1">
      <c r="G582" s="97"/>
    </row>
    <row r="583" ht="15.75" customHeight="1">
      <c r="G583" s="97"/>
    </row>
    <row r="584" ht="15.75" customHeight="1">
      <c r="G584" s="97"/>
    </row>
    <row r="585" ht="15.75" customHeight="1">
      <c r="G585" s="97"/>
    </row>
    <row r="586" ht="15.75" customHeight="1">
      <c r="G586" s="97"/>
    </row>
    <row r="587" ht="15.75" customHeight="1">
      <c r="G587" s="97"/>
    </row>
    <row r="588" ht="15.75" customHeight="1">
      <c r="G588" s="97"/>
    </row>
    <row r="589" ht="15.75" customHeight="1">
      <c r="G589" s="97"/>
    </row>
    <row r="590" ht="15.75" customHeight="1">
      <c r="G590" s="97"/>
    </row>
    <row r="591" ht="15.75" customHeight="1">
      <c r="G591" s="97"/>
    </row>
    <row r="592" ht="15.75" customHeight="1">
      <c r="G592" s="97"/>
    </row>
    <row r="593" ht="15.75" customHeight="1">
      <c r="G593" s="97"/>
    </row>
    <row r="594" ht="15.75" customHeight="1">
      <c r="G594" s="97"/>
    </row>
    <row r="595" ht="15.75" customHeight="1">
      <c r="G595" s="97"/>
    </row>
    <row r="596" ht="15.75" customHeight="1">
      <c r="G596" s="97"/>
    </row>
    <row r="597" ht="15.75" customHeight="1">
      <c r="G597" s="97"/>
    </row>
    <row r="598" ht="15.75" customHeight="1">
      <c r="G598" s="97"/>
    </row>
    <row r="599" ht="15.75" customHeight="1">
      <c r="G599" s="97"/>
    </row>
    <row r="600" ht="15.75" customHeight="1">
      <c r="G600" s="97"/>
    </row>
    <row r="601" ht="15.75" customHeight="1">
      <c r="G601" s="97"/>
    </row>
    <row r="602" ht="15.75" customHeight="1">
      <c r="G602" s="97"/>
    </row>
    <row r="603" ht="15.75" customHeight="1">
      <c r="G603" s="97"/>
    </row>
    <row r="604" ht="15.75" customHeight="1">
      <c r="G604" s="97"/>
    </row>
    <row r="605" ht="15.75" customHeight="1">
      <c r="G605" s="97"/>
    </row>
    <row r="606" ht="15.75" customHeight="1">
      <c r="G606" s="97"/>
    </row>
    <row r="607" ht="15.75" customHeight="1">
      <c r="G607" s="97"/>
    </row>
    <row r="608" ht="15.75" customHeight="1">
      <c r="G608" s="97"/>
    </row>
    <row r="609" ht="15.75" customHeight="1">
      <c r="G609" s="97"/>
    </row>
    <row r="610" ht="15.75" customHeight="1">
      <c r="G610" s="97"/>
    </row>
    <row r="611" ht="15.75" customHeight="1">
      <c r="G611" s="97"/>
    </row>
    <row r="612" ht="15.75" customHeight="1">
      <c r="G612" s="97"/>
    </row>
    <row r="613" ht="15.75" customHeight="1">
      <c r="G613" s="97"/>
    </row>
    <row r="614" ht="15.75" customHeight="1">
      <c r="G614" s="97"/>
    </row>
    <row r="615" ht="15.75" customHeight="1">
      <c r="G615" s="97"/>
    </row>
    <row r="616" ht="15.75" customHeight="1">
      <c r="G616" s="97"/>
    </row>
    <row r="617" ht="15.75" customHeight="1">
      <c r="G617" s="97"/>
    </row>
    <row r="618" ht="15.75" customHeight="1">
      <c r="G618" s="97"/>
    </row>
    <row r="619" ht="15.75" customHeight="1">
      <c r="G619" s="97"/>
    </row>
    <row r="620" ht="15.75" customHeight="1">
      <c r="G620" s="97"/>
    </row>
    <row r="621" ht="15.75" customHeight="1">
      <c r="G621" s="97"/>
    </row>
    <row r="622" ht="15.75" customHeight="1">
      <c r="G622" s="97"/>
    </row>
    <row r="623" ht="15.75" customHeight="1">
      <c r="G623" s="97"/>
    </row>
    <row r="624" ht="15.75" customHeight="1">
      <c r="G624" s="97"/>
    </row>
    <row r="625" ht="15.75" customHeight="1">
      <c r="G625" s="97"/>
    </row>
    <row r="626" ht="15.75" customHeight="1">
      <c r="G626" s="97"/>
    </row>
    <row r="627" ht="15.75" customHeight="1">
      <c r="G627" s="97"/>
    </row>
    <row r="628" ht="15.75" customHeight="1">
      <c r="G628" s="97"/>
    </row>
    <row r="629" ht="15.75" customHeight="1">
      <c r="G629" s="97"/>
    </row>
    <row r="630" ht="15.75" customHeight="1">
      <c r="G630" s="97"/>
    </row>
    <row r="631" ht="15.75" customHeight="1">
      <c r="G631" s="97"/>
    </row>
    <row r="632" ht="15.75" customHeight="1">
      <c r="G632" s="97"/>
    </row>
    <row r="633" ht="15.75" customHeight="1">
      <c r="G633" s="97"/>
    </row>
    <row r="634" ht="15.75" customHeight="1">
      <c r="G634" s="97"/>
    </row>
    <row r="635" ht="15.75" customHeight="1">
      <c r="G635" s="97"/>
    </row>
    <row r="636" ht="15.75" customHeight="1">
      <c r="G636" s="97"/>
    </row>
    <row r="637" ht="15.75" customHeight="1">
      <c r="G637" s="97"/>
    </row>
    <row r="638" ht="15.75" customHeight="1">
      <c r="G638" s="97"/>
    </row>
    <row r="639" ht="15.75" customHeight="1">
      <c r="G639" s="97"/>
    </row>
    <row r="640" ht="15.75" customHeight="1">
      <c r="G640" s="97"/>
    </row>
    <row r="641" ht="15.75" customHeight="1">
      <c r="G641" s="97"/>
    </row>
    <row r="642" ht="15.75" customHeight="1">
      <c r="G642" s="97"/>
    </row>
    <row r="643" ht="15.75" customHeight="1">
      <c r="G643" s="97"/>
    </row>
    <row r="644" ht="15.75" customHeight="1">
      <c r="G644" s="97"/>
    </row>
    <row r="645" ht="15.75" customHeight="1">
      <c r="G645" s="97"/>
    </row>
    <row r="646" ht="15.75" customHeight="1">
      <c r="G646" s="97"/>
    </row>
    <row r="647" ht="15.75" customHeight="1">
      <c r="G647" s="97"/>
    </row>
    <row r="648" ht="15.75" customHeight="1">
      <c r="G648" s="97"/>
    </row>
    <row r="649" ht="15.75" customHeight="1">
      <c r="G649" s="97"/>
    </row>
    <row r="650" ht="15.75" customHeight="1">
      <c r="G650" s="97"/>
    </row>
    <row r="651" ht="15.75" customHeight="1">
      <c r="G651" s="97"/>
    </row>
    <row r="652" ht="15.75" customHeight="1">
      <c r="G652" s="97"/>
    </row>
    <row r="653" ht="15.75" customHeight="1">
      <c r="G653" s="97"/>
    </row>
    <row r="654" ht="15.75" customHeight="1">
      <c r="G654" s="97"/>
    </row>
    <row r="655" ht="15.75" customHeight="1">
      <c r="G655" s="97"/>
    </row>
    <row r="656" ht="15.75" customHeight="1">
      <c r="G656" s="97"/>
    </row>
    <row r="657" ht="15.75" customHeight="1">
      <c r="G657" s="97"/>
    </row>
    <row r="658" ht="15.75" customHeight="1">
      <c r="G658" s="97"/>
    </row>
    <row r="659" ht="15.75" customHeight="1">
      <c r="G659" s="97"/>
    </row>
    <row r="660" ht="15.75" customHeight="1">
      <c r="G660" s="97"/>
    </row>
    <row r="661" ht="15.75" customHeight="1">
      <c r="G661" s="97"/>
    </row>
    <row r="662" ht="15.75" customHeight="1">
      <c r="G662" s="97"/>
    </row>
    <row r="663" ht="15.75" customHeight="1">
      <c r="G663" s="97"/>
    </row>
    <row r="664" ht="15.75" customHeight="1">
      <c r="G664" s="97"/>
    </row>
    <row r="665" ht="15.75" customHeight="1">
      <c r="G665" s="97"/>
    </row>
    <row r="666" ht="15.75" customHeight="1">
      <c r="G666" s="97"/>
    </row>
    <row r="667" ht="15.75" customHeight="1">
      <c r="G667" s="97"/>
    </row>
    <row r="668" ht="15.75" customHeight="1">
      <c r="G668" s="97"/>
    </row>
    <row r="669" ht="15.75" customHeight="1">
      <c r="G669" s="97"/>
    </row>
    <row r="670" ht="15.75" customHeight="1">
      <c r="G670" s="97"/>
    </row>
    <row r="671" ht="15.75" customHeight="1">
      <c r="G671" s="97"/>
    </row>
    <row r="672" ht="15.75" customHeight="1">
      <c r="G672" s="97"/>
    </row>
    <row r="673" ht="15.75" customHeight="1">
      <c r="G673" s="97"/>
    </row>
    <row r="674" ht="15.75" customHeight="1">
      <c r="G674" s="97"/>
    </row>
    <row r="675" ht="15.75" customHeight="1">
      <c r="G675" s="97"/>
    </row>
    <row r="676" ht="15.75" customHeight="1">
      <c r="G676" s="97"/>
    </row>
    <row r="677" ht="15.75" customHeight="1">
      <c r="G677" s="97"/>
    </row>
    <row r="678" ht="15.75" customHeight="1">
      <c r="G678" s="97"/>
    </row>
    <row r="679" ht="15.75" customHeight="1">
      <c r="G679" s="97"/>
    </row>
    <row r="680" ht="15.75" customHeight="1">
      <c r="G680" s="97"/>
    </row>
    <row r="681" ht="15.75" customHeight="1">
      <c r="G681" s="97"/>
    </row>
    <row r="682" ht="15.75" customHeight="1">
      <c r="G682" s="97"/>
    </row>
    <row r="683" ht="15.75" customHeight="1">
      <c r="G683" s="97"/>
    </row>
    <row r="684" ht="15.75" customHeight="1">
      <c r="G684" s="97"/>
    </row>
    <row r="685" ht="15.75" customHeight="1">
      <c r="G685" s="97"/>
    </row>
    <row r="686" ht="15.75" customHeight="1">
      <c r="G686" s="97"/>
    </row>
    <row r="687" ht="15.75" customHeight="1">
      <c r="G687" s="97"/>
    </row>
    <row r="688" ht="15.75" customHeight="1">
      <c r="G688" s="97"/>
    </row>
    <row r="689" ht="15.75" customHeight="1">
      <c r="G689" s="97"/>
    </row>
    <row r="690" ht="15.75" customHeight="1">
      <c r="G690" s="97"/>
    </row>
    <row r="691" ht="15.75" customHeight="1">
      <c r="G691" s="97"/>
    </row>
    <row r="692" ht="15.75" customHeight="1">
      <c r="G692" s="97"/>
    </row>
    <row r="693" ht="15.75" customHeight="1">
      <c r="G693" s="97"/>
    </row>
    <row r="694" ht="15.75" customHeight="1">
      <c r="G694" s="97"/>
    </row>
    <row r="695" ht="15.75" customHeight="1">
      <c r="G695" s="97"/>
    </row>
    <row r="696" ht="15.75" customHeight="1">
      <c r="G696" s="97"/>
    </row>
    <row r="697" ht="15.75" customHeight="1">
      <c r="G697" s="97"/>
    </row>
    <row r="698" ht="15.75" customHeight="1">
      <c r="G698" s="97"/>
    </row>
    <row r="699" ht="15.75" customHeight="1">
      <c r="G699" s="97"/>
    </row>
    <row r="700" ht="15.75" customHeight="1">
      <c r="G700" s="97"/>
    </row>
    <row r="701" ht="15.75" customHeight="1">
      <c r="G701" s="97"/>
    </row>
    <row r="702" ht="15.75" customHeight="1">
      <c r="G702" s="97"/>
    </row>
    <row r="703" ht="15.75" customHeight="1">
      <c r="G703" s="97"/>
    </row>
    <row r="704" ht="15.75" customHeight="1">
      <c r="G704" s="97"/>
    </row>
    <row r="705" ht="15.75" customHeight="1">
      <c r="G705" s="97"/>
    </row>
    <row r="706" ht="15.75" customHeight="1">
      <c r="G706" s="97"/>
    </row>
    <row r="707" ht="15.75" customHeight="1">
      <c r="G707" s="97"/>
    </row>
    <row r="708" ht="15.75" customHeight="1">
      <c r="G708" s="97"/>
    </row>
    <row r="709" ht="15.75" customHeight="1">
      <c r="G709" s="97"/>
    </row>
    <row r="710" ht="15.75" customHeight="1">
      <c r="G710" s="97"/>
    </row>
    <row r="711" ht="15.75" customHeight="1">
      <c r="G711" s="97"/>
    </row>
    <row r="712" ht="15.75" customHeight="1">
      <c r="G712" s="97"/>
    </row>
    <row r="713" ht="15.75" customHeight="1">
      <c r="G713" s="97"/>
    </row>
    <row r="714" ht="15.75" customHeight="1">
      <c r="G714" s="97"/>
    </row>
    <row r="715" ht="15.75" customHeight="1">
      <c r="G715" s="97"/>
    </row>
    <row r="716" ht="15.75" customHeight="1">
      <c r="G716" s="97"/>
    </row>
    <row r="717" ht="15.75" customHeight="1">
      <c r="G717" s="97"/>
    </row>
    <row r="718" ht="15.75" customHeight="1">
      <c r="G718" s="97"/>
    </row>
    <row r="719" ht="15.75" customHeight="1">
      <c r="G719" s="97"/>
    </row>
    <row r="720" ht="15.75" customHeight="1">
      <c r="G720" s="97"/>
    </row>
    <row r="721" ht="15.75" customHeight="1">
      <c r="G721" s="97"/>
    </row>
    <row r="722" ht="15.75" customHeight="1">
      <c r="G722" s="97"/>
    </row>
    <row r="723" ht="15.75" customHeight="1">
      <c r="G723" s="97"/>
    </row>
    <row r="724" ht="15.75" customHeight="1">
      <c r="G724" s="97"/>
    </row>
    <row r="725" ht="15.75" customHeight="1">
      <c r="G725" s="97"/>
    </row>
    <row r="726" ht="15.75" customHeight="1">
      <c r="G726" s="97"/>
    </row>
    <row r="727" ht="15.75" customHeight="1">
      <c r="G727" s="97"/>
    </row>
    <row r="728" ht="15.75" customHeight="1">
      <c r="G728" s="97"/>
    </row>
    <row r="729" ht="15.75" customHeight="1">
      <c r="G729" s="97"/>
    </row>
    <row r="730" ht="15.75" customHeight="1">
      <c r="G730" s="97"/>
    </row>
    <row r="731" ht="15.75" customHeight="1">
      <c r="G731" s="97"/>
    </row>
    <row r="732" ht="15.75" customHeight="1">
      <c r="G732" s="97"/>
    </row>
    <row r="733" ht="15.75" customHeight="1">
      <c r="G733" s="97"/>
    </row>
    <row r="734" ht="15.75" customHeight="1">
      <c r="G734" s="97"/>
    </row>
    <row r="735" ht="15.75" customHeight="1">
      <c r="G735" s="97"/>
    </row>
    <row r="736" ht="15.75" customHeight="1">
      <c r="G736" s="97"/>
    </row>
    <row r="737" ht="15.75" customHeight="1">
      <c r="G737" s="97"/>
    </row>
    <row r="738" ht="15.75" customHeight="1">
      <c r="G738" s="97"/>
    </row>
    <row r="739" ht="15.75" customHeight="1">
      <c r="G739" s="97"/>
    </row>
    <row r="740" ht="15.75" customHeight="1">
      <c r="G740" s="97"/>
    </row>
    <row r="741" ht="15.75" customHeight="1">
      <c r="G741" s="97"/>
    </row>
    <row r="742" ht="15.75" customHeight="1">
      <c r="G742" s="97"/>
    </row>
    <row r="743" ht="15.75" customHeight="1">
      <c r="G743" s="97"/>
    </row>
    <row r="744" ht="15.75" customHeight="1">
      <c r="G744" s="97"/>
    </row>
    <row r="745" ht="15.75" customHeight="1">
      <c r="G745" s="97"/>
    </row>
    <row r="746" ht="15.75" customHeight="1">
      <c r="G746" s="97"/>
    </row>
    <row r="747" ht="15.75" customHeight="1">
      <c r="G747" s="97"/>
    </row>
    <row r="748" ht="15.75" customHeight="1">
      <c r="G748" s="97"/>
    </row>
    <row r="749" ht="15.75" customHeight="1">
      <c r="G749" s="97"/>
    </row>
    <row r="750" ht="15.75" customHeight="1">
      <c r="G750" s="97"/>
    </row>
    <row r="751" ht="15.75" customHeight="1">
      <c r="G751" s="97"/>
    </row>
    <row r="752" ht="15.75" customHeight="1">
      <c r="G752" s="97"/>
    </row>
    <row r="753" ht="15.75" customHeight="1">
      <c r="G753" s="97"/>
    </row>
    <row r="754" ht="15.75" customHeight="1">
      <c r="G754" s="97"/>
    </row>
    <row r="755" ht="15.75" customHeight="1">
      <c r="G755" s="97"/>
    </row>
    <row r="756" ht="15.75" customHeight="1">
      <c r="G756" s="97"/>
    </row>
    <row r="757" ht="15.75" customHeight="1">
      <c r="G757" s="97"/>
    </row>
    <row r="758" ht="15.75" customHeight="1">
      <c r="G758" s="97"/>
    </row>
    <row r="759" ht="15.75" customHeight="1">
      <c r="G759" s="97"/>
    </row>
    <row r="760" ht="15.75" customHeight="1">
      <c r="G760" s="97"/>
    </row>
    <row r="761" ht="15.75" customHeight="1">
      <c r="G761" s="97"/>
    </row>
    <row r="762" ht="15.75" customHeight="1">
      <c r="G762" s="97"/>
    </row>
    <row r="763" ht="15.75" customHeight="1">
      <c r="G763" s="97"/>
    </row>
    <row r="764" ht="15.75" customHeight="1">
      <c r="G764" s="97"/>
    </row>
    <row r="765" ht="15.75" customHeight="1">
      <c r="G765" s="97"/>
    </row>
    <row r="766" ht="15.75" customHeight="1">
      <c r="G766" s="97"/>
    </row>
    <row r="767" ht="15.75" customHeight="1">
      <c r="G767" s="97"/>
    </row>
    <row r="768" ht="15.75" customHeight="1">
      <c r="G768" s="97"/>
    </row>
    <row r="769" ht="15.75" customHeight="1">
      <c r="G769" s="97"/>
    </row>
    <row r="770" ht="15.75" customHeight="1">
      <c r="G770" s="97"/>
    </row>
    <row r="771" ht="15.75" customHeight="1">
      <c r="G771" s="97"/>
    </row>
    <row r="772" ht="15.75" customHeight="1">
      <c r="G772" s="97"/>
    </row>
    <row r="773" ht="15.75" customHeight="1">
      <c r="G773" s="97"/>
    </row>
    <row r="774" ht="15.75" customHeight="1">
      <c r="G774" s="97"/>
    </row>
    <row r="775" ht="15.75" customHeight="1">
      <c r="G775" s="97"/>
    </row>
    <row r="776" ht="15.75" customHeight="1">
      <c r="G776" s="97"/>
    </row>
    <row r="777" ht="15.75" customHeight="1">
      <c r="G777" s="97"/>
    </row>
    <row r="778" ht="15.75" customHeight="1">
      <c r="G778" s="97"/>
    </row>
    <row r="779" ht="15.75" customHeight="1">
      <c r="G779" s="97"/>
    </row>
    <row r="780" ht="15.75" customHeight="1">
      <c r="G780" s="97"/>
    </row>
    <row r="781" ht="15.75" customHeight="1">
      <c r="G781" s="97"/>
    </row>
    <row r="782" ht="15.75" customHeight="1">
      <c r="G782" s="97"/>
    </row>
    <row r="783" ht="15.75" customHeight="1">
      <c r="G783" s="97"/>
    </row>
    <row r="784" ht="15.75" customHeight="1">
      <c r="G784" s="97"/>
    </row>
    <row r="785" ht="15.75" customHeight="1">
      <c r="G785" s="97"/>
    </row>
    <row r="786" ht="15.75" customHeight="1">
      <c r="G786" s="97"/>
    </row>
    <row r="787" ht="15.75" customHeight="1">
      <c r="G787" s="97"/>
    </row>
    <row r="788" ht="15.75" customHeight="1">
      <c r="G788" s="97"/>
    </row>
    <row r="789" ht="15.75" customHeight="1">
      <c r="G789" s="97"/>
    </row>
    <row r="790" ht="15.75" customHeight="1">
      <c r="G790" s="97"/>
    </row>
    <row r="791" ht="15.75" customHeight="1">
      <c r="G791" s="97"/>
    </row>
    <row r="792" ht="15.75" customHeight="1">
      <c r="G792" s="97"/>
    </row>
    <row r="793" ht="15.75" customHeight="1">
      <c r="G793" s="97"/>
    </row>
    <row r="794" ht="15.75" customHeight="1">
      <c r="G794" s="97"/>
    </row>
    <row r="795" ht="15.75" customHeight="1">
      <c r="G795" s="97"/>
    </row>
    <row r="796" ht="15.75" customHeight="1">
      <c r="G796" s="97"/>
    </row>
    <row r="797" ht="15.75" customHeight="1">
      <c r="G797" s="97"/>
    </row>
    <row r="798" ht="15.75" customHeight="1">
      <c r="G798" s="97"/>
    </row>
    <row r="799" ht="15.75" customHeight="1">
      <c r="G799" s="97"/>
    </row>
    <row r="800" ht="15.75" customHeight="1">
      <c r="G800" s="97"/>
    </row>
    <row r="801" ht="15.75" customHeight="1">
      <c r="G801" s="97"/>
    </row>
    <row r="802" ht="15.75" customHeight="1">
      <c r="G802" s="97"/>
    </row>
    <row r="803" ht="15.75" customHeight="1">
      <c r="G803" s="97"/>
    </row>
    <row r="804" ht="15.75" customHeight="1">
      <c r="G804" s="97"/>
    </row>
    <row r="805" ht="15.75" customHeight="1">
      <c r="G805" s="97"/>
    </row>
    <row r="806" ht="15.75" customHeight="1">
      <c r="G806" s="97"/>
    </row>
    <row r="807" ht="15.75" customHeight="1">
      <c r="G807" s="97"/>
    </row>
    <row r="808" ht="15.75" customHeight="1">
      <c r="G808" s="97"/>
    </row>
    <row r="809" ht="15.75" customHeight="1">
      <c r="G809" s="97"/>
    </row>
    <row r="810" ht="15.75" customHeight="1">
      <c r="G810" s="97"/>
    </row>
    <row r="811" ht="15.75" customHeight="1">
      <c r="G811" s="97"/>
    </row>
    <row r="812" ht="15.75" customHeight="1">
      <c r="G812" s="97"/>
    </row>
    <row r="813" ht="15.75" customHeight="1">
      <c r="G813" s="97"/>
    </row>
    <row r="814" ht="15.75" customHeight="1">
      <c r="G814" s="97"/>
    </row>
    <row r="815" ht="15.75" customHeight="1">
      <c r="G815" s="97"/>
    </row>
    <row r="816" ht="15.75" customHeight="1">
      <c r="G816" s="97"/>
    </row>
    <row r="817" ht="15.75" customHeight="1">
      <c r="G817" s="97"/>
    </row>
    <row r="818" ht="15.75" customHeight="1">
      <c r="G818" s="97"/>
    </row>
    <row r="819" ht="15.75" customHeight="1">
      <c r="G819" s="97"/>
    </row>
    <row r="820" ht="15.75" customHeight="1">
      <c r="G820" s="97"/>
    </row>
    <row r="821" ht="15.75" customHeight="1">
      <c r="G821" s="97"/>
    </row>
    <row r="822" ht="15.75" customHeight="1">
      <c r="G822" s="97"/>
    </row>
    <row r="823" ht="15.75" customHeight="1">
      <c r="G823" s="97"/>
    </row>
    <row r="824" ht="15.75" customHeight="1">
      <c r="G824" s="97"/>
    </row>
    <row r="825" ht="15.75" customHeight="1">
      <c r="G825" s="97"/>
    </row>
    <row r="826" ht="15.75" customHeight="1">
      <c r="G826" s="97"/>
    </row>
    <row r="827" ht="15.75" customHeight="1">
      <c r="G827" s="97"/>
    </row>
    <row r="828" ht="15.75" customHeight="1">
      <c r="G828" s="97"/>
    </row>
    <row r="829" ht="15.75" customHeight="1">
      <c r="G829" s="97"/>
    </row>
    <row r="830" ht="15.75" customHeight="1">
      <c r="G830" s="97"/>
    </row>
    <row r="831" ht="15.75" customHeight="1">
      <c r="G831" s="97"/>
    </row>
    <row r="832" ht="15.75" customHeight="1">
      <c r="G832" s="97"/>
    </row>
    <row r="833" ht="15.75" customHeight="1">
      <c r="G833" s="97"/>
    </row>
    <row r="834" ht="15.75" customHeight="1">
      <c r="G834" s="97"/>
    </row>
    <row r="835" ht="15.75" customHeight="1">
      <c r="G835" s="97"/>
    </row>
    <row r="836" ht="15.75" customHeight="1">
      <c r="G836" s="97"/>
    </row>
    <row r="837" ht="15.75" customHeight="1">
      <c r="G837" s="97"/>
    </row>
    <row r="838" ht="15.75" customHeight="1">
      <c r="G838" s="97"/>
    </row>
    <row r="839" ht="15.75" customHeight="1">
      <c r="G839" s="97"/>
    </row>
    <row r="840" ht="15.75" customHeight="1">
      <c r="G840" s="97"/>
    </row>
    <row r="841" ht="15.75" customHeight="1">
      <c r="G841" s="97"/>
    </row>
    <row r="842" ht="15.75" customHeight="1">
      <c r="G842" s="97"/>
    </row>
    <row r="843" ht="15.75" customHeight="1">
      <c r="G843" s="97"/>
    </row>
    <row r="844" ht="15.75" customHeight="1">
      <c r="G844" s="97"/>
    </row>
    <row r="845" ht="15.75" customHeight="1">
      <c r="G845" s="97"/>
    </row>
    <row r="846" ht="15.75" customHeight="1">
      <c r="G846" s="97"/>
    </row>
    <row r="847" ht="15.75" customHeight="1">
      <c r="G847" s="97"/>
    </row>
    <row r="848" ht="15.75" customHeight="1">
      <c r="G848" s="97"/>
    </row>
    <row r="849" ht="15.75" customHeight="1">
      <c r="G849" s="97"/>
    </row>
    <row r="850" ht="15.75" customHeight="1">
      <c r="G850" s="97"/>
    </row>
    <row r="851" ht="15.75" customHeight="1">
      <c r="G851" s="97"/>
    </row>
    <row r="852" ht="15.75" customHeight="1">
      <c r="G852" s="97"/>
    </row>
    <row r="853" ht="15.75" customHeight="1">
      <c r="G853" s="97"/>
    </row>
    <row r="854" ht="15.75" customHeight="1">
      <c r="G854" s="97"/>
    </row>
    <row r="855" ht="15.75" customHeight="1">
      <c r="G855" s="97"/>
    </row>
    <row r="856" ht="15.75" customHeight="1">
      <c r="G856" s="97"/>
    </row>
    <row r="857" ht="15.75" customHeight="1">
      <c r="G857" s="97"/>
    </row>
    <row r="858" ht="15.75" customHeight="1">
      <c r="G858" s="97"/>
    </row>
    <row r="859" ht="15.75" customHeight="1">
      <c r="G859" s="97"/>
    </row>
    <row r="860" ht="15.75" customHeight="1">
      <c r="G860" s="97"/>
    </row>
    <row r="861" ht="15.75" customHeight="1">
      <c r="G861" s="97"/>
    </row>
    <row r="862" ht="15.75" customHeight="1">
      <c r="G862" s="97"/>
    </row>
    <row r="863" ht="15.75" customHeight="1">
      <c r="G863" s="97"/>
    </row>
    <row r="864" ht="15.75" customHeight="1">
      <c r="G864" s="97"/>
    </row>
    <row r="865" ht="15.75" customHeight="1">
      <c r="G865" s="97"/>
    </row>
    <row r="866" ht="15.75" customHeight="1">
      <c r="G866" s="97"/>
    </row>
    <row r="867" ht="15.75" customHeight="1">
      <c r="G867" s="97"/>
    </row>
    <row r="868" ht="15.75" customHeight="1">
      <c r="G868" s="97"/>
    </row>
    <row r="869" ht="15.75" customHeight="1">
      <c r="G869" s="97"/>
    </row>
    <row r="870" ht="15.75" customHeight="1">
      <c r="G870" s="97"/>
    </row>
    <row r="871" ht="15.75" customHeight="1">
      <c r="G871" s="97"/>
    </row>
    <row r="872" ht="15.75" customHeight="1">
      <c r="G872" s="97"/>
    </row>
    <row r="873" ht="15.75" customHeight="1">
      <c r="G873" s="97"/>
    </row>
    <row r="874" ht="15.75" customHeight="1">
      <c r="G874" s="97"/>
    </row>
    <row r="875" ht="15.75" customHeight="1">
      <c r="G875" s="97"/>
    </row>
    <row r="876" ht="15.75" customHeight="1">
      <c r="G876" s="97"/>
    </row>
    <row r="877" ht="15.75" customHeight="1">
      <c r="G877" s="97"/>
    </row>
    <row r="878" ht="15.75" customHeight="1">
      <c r="G878" s="97"/>
    </row>
    <row r="879" ht="15.75" customHeight="1">
      <c r="G879" s="97"/>
    </row>
    <row r="880" ht="15.75" customHeight="1">
      <c r="G880" s="97"/>
    </row>
    <row r="881" ht="15.75" customHeight="1">
      <c r="G881" s="97"/>
    </row>
    <row r="882" ht="15.75" customHeight="1">
      <c r="G882" s="97"/>
    </row>
    <row r="883" ht="15.75" customHeight="1">
      <c r="G883" s="97"/>
    </row>
    <row r="884" ht="15.75" customHeight="1">
      <c r="G884" s="97"/>
    </row>
    <row r="885" ht="15.75" customHeight="1">
      <c r="G885" s="97"/>
    </row>
    <row r="886" ht="15.75" customHeight="1">
      <c r="G886" s="97"/>
    </row>
    <row r="887" ht="15.75" customHeight="1">
      <c r="G887" s="97"/>
    </row>
    <row r="888" ht="15.75" customHeight="1">
      <c r="G888" s="97"/>
    </row>
    <row r="889" ht="15.75" customHeight="1">
      <c r="G889" s="97"/>
    </row>
    <row r="890" ht="15.75" customHeight="1">
      <c r="G890" s="97"/>
    </row>
    <row r="891" ht="15.75" customHeight="1">
      <c r="G891" s="97"/>
    </row>
    <row r="892" ht="15.75" customHeight="1">
      <c r="G892" s="97"/>
    </row>
    <row r="893" ht="15.75" customHeight="1">
      <c r="G893" s="97"/>
    </row>
    <row r="894" ht="15.75" customHeight="1">
      <c r="G894" s="97"/>
    </row>
    <row r="895" ht="15.75" customHeight="1">
      <c r="G895" s="97"/>
    </row>
    <row r="896" ht="15.75" customHeight="1">
      <c r="G896" s="97"/>
    </row>
    <row r="897" ht="15.75" customHeight="1">
      <c r="G897" s="97"/>
    </row>
    <row r="898" ht="15.75" customHeight="1">
      <c r="G898" s="97"/>
    </row>
    <row r="899" ht="15.75" customHeight="1">
      <c r="G899" s="97"/>
    </row>
    <row r="900" ht="15.75" customHeight="1">
      <c r="G900" s="97"/>
    </row>
    <row r="901" ht="15.75" customHeight="1">
      <c r="G901" s="97"/>
    </row>
    <row r="902" ht="15.75" customHeight="1">
      <c r="G902" s="97"/>
    </row>
    <row r="903" ht="15.75" customHeight="1">
      <c r="G903" s="97"/>
    </row>
    <row r="904" ht="15.75" customHeight="1">
      <c r="G904" s="97"/>
    </row>
    <row r="905" ht="15.75" customHeight="1">
      <c r="G905" s="97"/>
    </row>
    <row r="906" ht="15.75" customHeight="1">
      <c r="G906" s="97"/>
    </row>
    <row r="907" ht="15.75" customHeight="1">
      <c r="G907" s="97"/>
    </row>
    <row r="908" ht="15.75" customHeight="1">
      <c r="G908" s="97"/>
    </row>
    <row r="909" ht="15.75" customHeight="1">
      <c r="G909" s="97"/>
    </row>
    <row r="910" ht="15.75" customHeight="1">
      <c r="G910" s="97"/>
    </row>
    <row r="911" ht="15.75" customHeight="1">
      <c r="G911" s="97"/>
    </row>
    <row r="912" ht="15.75" customHeight="1">
      <c r="G912" s="97"/>
    </row>
    <row r="913" ht="15.75" customHeight="1">
      <c r="G913" s="97"/>
    </row>
    <row r="914" ht="15.75" customHeight="1">
      <c r="G914" s="97"/>
    </row>
    <row r="915" ht="15.75" customHeight="1">
      <c r="G915" s="97"/>
    </row>
    <row r="916" ht="15.75" customHeight="1">
      <c r="G916" s="97"/>
    </row>
    <row r="917" ht="15.75" customHeight="1">
      <c r="G917" s="97"/>
    </row>
    <row r="918" ht="15.75" customHeight="1">
      <c r="G918" s="97"/>
    </row>
    <row r="919" ht="15.75" customHeight="1">
      <c r="G919" s="97"/>
    </row>
    <row r="920" ht="15.75" customHeight="1">
      <c r="G920" s="97"/>
    </row>
    <row r="921" ht="15.75" customHeight="1">
      <c r="G921" s="97"/>
    </row>
    <row r="922" ht="15.75" customHeight="1">
      <c r="G922" s="97"/>
    </row>
    <row r="923" ht="15.75" customHeight="1">
      <c r="G923" s="97"/>
    </row>
    <row r="924" ht="15.75" customHeight="1">
      <c r="G924" s="97"/>
    </row>
    <row r="925" ht="15.75" customHeight="1">
      <c r="G925" s="97"/>
    </row>
    <row r="926" ht="15.75" customHeight="1">
      <c r="G926" s="97"/>
    </row>
    <row r="927" ht="15.75" customHeight="1">
      <c r="G927" s="97"/>
    </row>
    <row r="928" ht="15.75" customHeight="1">
      <c r="G928" s="97"/>
    </row>
    <row r="929" ht="15.75" customHeight="1">
      <c r="G929" s="97"/>
    </row>
    <row r="930" ht="15.75" customHeight="1">
      <c r="G930" s="97"/>
    </row>
    <row r="931" ht="15.75" customHeight="1">
      <c r="G931" s="97"/>
    </row>
    <row r="932" ht="15.75" customHeight="1">
      <c r="G932" s="97"/>
    </row>
    <row r="933" ht="15.75" customHeight="1">
      <c r="G933" s="97"/>
    </row>
    <row r="934" ht="15.75" customHeight="1">
      <c r="G934" s="97"/>
    </row>
    <row r="935" ht="15.75" customHeight="1">
      <c r="G935" s="97"/>
    </row>
    <row r="936" ht="15.75" customHeight="1">
      <c r="G936" s="97"/>
    </row>
    <row r="937" ht="15.75" customHeight="1">
      <c r="G937" s="97"/>
    </row>
    <row r="938" ht="15.75" customHeight="1">
      <c r="G938" s="97"/>
    </row>
    <row r="939" ht="15.75" customHeight="1">
      <c r="G939" s="97"/>
    </row>
    <row r="940" ht="15.75" customHeight="1">
      <c r="G940" s="97"/>
    </row>
    <row r="941" ht="15.75" customHeight="1">
      <c r="G941" s="97"/>
    </row>
    <row r="942" ht="15.75" customHeight="1">
      <c r="G942" s="97"/>
    </row>
    <row r="943" ht="15.75" customHeight="1">
      <c r="G943" s="97"/>
    </row>
    <row r="944" ht="15.75" customHeight="1">
      <c r="G944" s="97"/>
    </row>
    <row r="945" ht="15.75" customHeight="1">
      <c r="G945" s="97"/>
    </row>
    <row r="946" ht="15.75" customHeight="1">
      <c r="G946" s="97"/>
    </row>
    <row r="947" ht="15.75" customHeight="1">
      <c r="G947" s="97"/>
    </row>
    <row r="948" ht="15.75" customHeight="1">
      <c r="G948" s="97"/>
    </row>
    <row r="949" ht="15.75" customHeight="1">
      <c r="G949" s="97"/>
    </row>
    <row r="950" ht="15.75" customHeight="1">
      <c r="G950" s="97"/>
    </row>
    <row r="951" ht="15.75" customHeight="1">
      <c r="G951" s="97"/>
    </row>
    <row r="952" ht="15.75" customHeight="1">
      <c r="G952" s="97"/>
    </row>
    <row r="953" ht="15.75" customHeight="1">
      <c r="G953" s="97"/>
    </row>
    <row r="954" ht="15.75" customHeight="1">
      <c r="G954" s="97"/>
    </row>
    <row r="955" ht="15.75" customHeight="1">
      <c r="G955" s="97"/>
    </row>
    <row r="956" ht="15.75" customHeight="1">
      <c r="G956" s="97"/>
    </row>
    <row r="957" ht="15.75" customHeight="1">
      <c r="G957" s="97"/>
    </row>
    <row r="958" ht="15.75" customHeight="1">
      <c r="G958" s="97"/>
    </row>
    <row r="959" ht="15.75" customHeight="1">
      <c r="G959" s="97"/>
    </row>
    <row r="960" ht="15.75" customHeight="1">
      <c r="G960" s="97"/>
    </row>
    <row r="961" ht="15.75" customHeight="1">
      <c r="G961" s="97"/>
    </row>
    <row r="962" ht="15.75" customHeight="1">
      <c r="G962" s="97"/>
    </row>
    <row r="963" ht="15.75" customHeight="1">
      <c r="G963" s="97"/>
    </row>
    <row r="964" ht="15.75" customHeight="1">
      <c r="G964" s="97"/>
    </row>
    <row r="965" ht="15.75" customHeight="1">
      <c r="G965" s="97"/>
    </row>
    <row r="966" ht="15.75" customHeight="1">
      <c r="G966" s="97"/>
    </row>
    <row r="967" ht="15.75" customHeight="1">
      <c r="G967" s="97"/>
    </row>
    <row r="968" ht="15.75" customHeight="1">
      <c r="G968" s="97"/>
    </row>
    <row r="969" ht="15.75" customHeight="1">
      <c r="G969" s="97"/>
    </row>
    <row r="970" ht="15.75" customHeight="1">
      <c r="G970" s="97"/>
    </row>
    <row r="971" ht="15.75" customHeight="1">
      <c r="G971" s="97"/>
    </row>
    <row r="972" ht="15.75" customHeight="1">
      <c r="G972" s="97"/>
    </row>
    <row r="973" ht="15.75" customHeight="1">
      <c r="G973" s="97"/>
    </row>
    <row r="974" ht="15.75" customHeight="1">
      <c r="G974" s="97"/>
    </row>
    <row r="975" ht="15.75" customHeight="1">
      <c r="G975" s="97"/>
    </row>
    <row r="976" ht="15.75" customHeight="1">
      <c r="G976" s="97"/>
    </row>
    <row r="977" ht="15.75" customHeight="1">
      <c r="G977" s="97"/>
    </row>
    <row r="978" ht="15.75" customHeight="1">
      <c r="G978" s="97"/>
    </row>
    <row r="979" ht="15.75" customHeight="1">
      <c r="G979" s="97"/>
    </row>
    <row r="980" ht="15.75" customHeight="1">
      <c r="G980" s="97"/>
    </row>
    <row r="981" ht="15.75" customHeight="1">
      <c r="G981" s="97"/>
    </row>
    <row r="982" ht="15.75" customHeight="1">
      <c r="G982" s="97"/>
    </row>
    <row r="983" ht="15.75" customHeight="1">
      <c r="G983" s="97"/>
    </row>
    <row r="984" ht="15.75" customHeight="1">
      <c r="G984" s="97"/>
    </row>
    <row r="985" ht="15.75" customHeight="1">
      <c r="G985" s="97"/>
    </row>
    <row r="986" ht="15.75" customHeight="1">
      <c r="G986" s="97"/>
    </row>
    <row r="987" ht="15.75" customHeight="1">
      <c r="G987" s="97"/>
    </row>
    <row r="988" ht="15.75" customHeight="1">
      <c r="G988" s="97"/>
    </row>
    <row r="989" ht="15.75" customHeight="1">
      <c r="G989" s="97"/>
    </row>
    <row r="990" ht="15.75" customHeight="1">
      <c r="G990" s="97"/>
    </row>
    <row r="991" ht="15.75" customHeight="1">
      <c r="G991" s="97"/>
    </row>
    <row r="992" ht="15.75" customHeight="1">
      <c r="G992" s="97"/>
    </row>
    <row r="993" ht="15.75" customHeight="1">
      <c r="G993" s="97"/>
    </row>
    <row r="994" ht="15.75" customHeight="1">
      <c r="G994" s="97"/>
    </row>
    <row r="995" ht="15.75" customHeight="1">
      <c r="G995" s="97"/>
    </row>
    <row r="996" ht="15.75" customHeight="1">
      <c r="G996" s="97"/>
    </row>
    <row r="997" ht="15.75" customHeight="1">
      <c r="G997" s="97"/>
    </row>
    <row r="998" ht="15.75" customHeight="1">
      <c r="G998" s="97"/>
    </row>
    <row r="999" ht="15.75" customHeight="1">
      <c r="G999" s="97"/>
    </row>
    <row r="1000" ht="15.75" customHeight="1">
      <c r="G1000" s="97"/>
    </row>
  </sheetData>
  <dataValidations>
    <dataValidation type="list" allowBlank="1" sqref="G2:G1000">
      <formula1>"Yes,No,Verify"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</hyperlinks>
  <printOptions/>
  <pageMargins bottom="1.0" footer="0.0" header="0.0" left="0.75" right="0.75" top="1.0"/>
  <pageSetup orientation="landscape"/>
  <drawing r:id="rId8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8.0" customHeight="1">
      <c r="A1" s="97" t="s">
        <v>1299</v>
      </c>
      <c r="B1" s="97" t="s">
        <v>313</v>
      </c>
      <c r="C1" s="97" t="s">
        <v>12</v>
      </c>
      <c r="D1" s="97" t="s">
        <v>505</v>
      </c>
      <c r="E1" s="97" t="s">
        <v>1300</v>
      </c>
      <c r="F1" s="97" t="s">
        <v>1233</v>
      </c>
      <c r="G1" s="97" t="s">
        <v>290</v>
      </c>
    </row>
    <row r="2" ht="18.0" customHeight="1">
      <c r="A2" s="97" t="s">
        <v>331</v>
      </c>
      <c r="B2" s="97" t="s">
        <v>875</v>
      </c>
      <c r="C2" s="97" t="s">
        <v>677</v>
      </c>
      <c r="D2" s="97" t="s">
        <v>1065</v>
      </c>
      <c r="E2" s="97" t="s">
        <v>334</v>
      </c>
      <c r="F2" s="97" t="s">
        <v>1110</v>
      </c>
      <c r="G2" s="97" t="s">
        <v>1301</v>
      </c>
    </row>
    <row r="3" ht="18.0" customHeight="1">
      <c r="A3" s="97" t="s">
        <v>99</v>
      </c>
      <c r="B3" s="97" t="s">
        <v>871</v>
      </c>
      <c r="C3" s="97" t="s">
        <v>518</v>
      </c>
      <c r="D3" s="97" t="s">
        <v>1302</v>
      </c>
      <c r="E3" s="97" t="s">
        <v>344</v>
      </c>
      <c r="F3" s="97" t="s">
        <v>1245</v>
      </c>
      <c r="G3" s="97" t="s">
        <v>111</v>
      </c>
    </row>
    <row r="4" ht="18.0" customHeight="1">
      <c r="A4" s="97" t="s">
        <v>109</v>
      </c>
      <c r="B4" s="97" t="s">
        <v>1263</v>
      </c>
      <c r="C4" s="97" t="s">
        <v>1303</v>
      </c>
      <c r="D4" s="97" t="s">
        <v>1096</v>
      </c>
      <c r="G4" s="97" t="s">
        <v>1304</v>
      </c>
    </row>
    <row r="5" ht="18.0" customHeight="1">
      <c r="A5" s="97" t="s">
        <v>1305</v>
      </c>
      <c r="C5" s="97" t="s">
        <v>1306</v>
      </c>
      <c r="D5" s="97" t="s">
        <v>1091</v>
      </c>
      <c r="G5" s="97" t="s">
        <v>262</v>
      </c>
    </row>
    <row r="6" ht="18.0" customHeight="1">
      <c r="C6" s="97" t="s">
        <v>1307</v>
      </c>
      <c r="D6" s="97" t="s">
        <v>623</v>
      </c>
      <c r="G6" s="97" t="s">
        <v>1308</v>
      </c>
    </row>
    <row r="7" ht="18.0" customHeight="1">
      <c r="C7" s="97" t="s">
        <v>1309</v>
      </c>
      <c r="D7" s="97" t="s">
        <v>1310</v>
      </c>
      <c r="G7" s="97" t="s">
        <v>1311</v>
      </c>
    </row>
    <row r="8" ht="18.0" customHeight="1">
      <c r="D8" s="97" t="s">
        <v>1086</v>
      </c>
      <c r="G8" s="97" t="s">
        <v>1312</v>
      </c>
    </row>
    <row r="9" ht="18.0" customHeight="1">
      <c r="D9" s="97" t="s">
        <v>1313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46.0"/>
    <col customWidth="1" min="4" max="4" width="16.0"/>
    <col customWidth="1" min="5" max="5" width="18.0"/>
    <col customWidth="1" min="6" max="6" width="12.0"/>
    <col customWidth="1" min="7" max="7" width="14.0"/>
    <col customWidth="1" min="8" max="8" width="20.0"/>
    <col customWidth="1" min="9" max="9" width="13.0"/>
    <col customWidth="1" min="10" max="10" width="15.0"/>
    <col customWidth="1" min="11" max="11" width="18.0"/>
    <col customWidth="1" min="12" max="12" width="12.0"/>
    <col customWidth="1" min="13" max="14" width="34.0"/>
    <col customWidth="1" min="15" max="16" width="16.0"/>
    <col customWidth="1" min="17" max="17" width="20.0"/>
    <col customWidth="1" min="18" max="26" width="8.71"/>
  </cols>
  <sheetData>
    <row r="1" ht="27.75" customHeight="1">
      <c r="A1" s="117" t="s">
        <v>1314</v>
      </c>
      <c r="B1" s="118"/>
      <c r="C1" s="118"/>
      <c r="D1" s="118"/>
      <c r="E1" s="118"/>
      <c r="F1" s="118"/>
      <c r="G1" s="118"/>
      <c r="H1" s="119"/>
    </row>
    <row r="2" ht="18.0" customHeight="1"/>
    <row r="3" ht="18.0" customHeight="1">
      <c r="A3" s="131" t="s">
        <v>1315</v>
      </c>
    </row>
    <row r="4" ht="18.0" customHeight="1"/>
    <row r="5" ht="18.0" customHeight="1">
      <c r="A5" s="126" t="s">
        <v>1039</v>
      </c>
      <c r="B5" s="126" t="s">
        <v>1040</v>
      </c>
      <c r="C5" s="126" t="s">
        <v>1041</v>
      </c>
      <c r="D5" s="126" t="s">
        <v>10</v>
      </c>
      <c r="E5" s="126" t="s">
        <v>505</v>
      </c>
      <c r="F5" s="126" t="s">
        <v>313</v>
      </c>
      <c r="G5" s="126" t="s">
        <v>6</v>
      </c>
      <c r="H5" s="126" t="s">
        <v>1042</v>
      </c>
      <c r="I5" s="126" t="s">
        <v>1043</v>
      </c>
      <c r="J5" s="126" t="s">
        <v>12</v>
      </c>
      <c r="K5" s="126" t="s">
        <v>1044</v>
      </c>
      <c r="L5" s="126" t="s">
        <v>1045</v>
      </c>
      <c r="M5" s="126" t="s">
        <v>1046</v>
      </c>
      <c r="N5" s="126" t="s">
        <v>726</v>
      </c>
      <c r="O5" s="126" t="s">
        <v>1047</v>
      </c>
      <c r="P5" s="126" t="s">
        <v>442</v>
      </c>
      <c r="Q5" s="126" t="s">
        <v>1048</v>
      </c>
    </row>
    <row r="6" ht="18.0" customHeight="1">
      <c r="A6" s="97" t="str">
        <f>IFERROR(__xludf.DUMMYFUNCTION("FILTER('WORK DESK — UPDATE'!A6:Q1004,('WORK DESK — UPDATE'!D6:D1004=""Emmanuel"")*('WORK DESK — UPDATE'!J6:J1004&lt;&gt;""Done"")*('WORK DESK — UPDATE'!J6:J1004&lt;&gt;""Dropped""),""No open items"")"),"#N/A")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46.0"/>
    <col customWidth="1" min="4" max="4" width="16.0"/>
    <col customWidth="1" min="5" max="5" width="18.0"/>
    <col customWidth="1" min="6" max="6" width="12.0"/>
    <col customWidth="1" min="7" max="7" width="14.0"/>
    <col customWidth="1" min="8" max="8" width="20.0"/>
    <col customWidth="1" min="9" max="9" width="13.0"/>
    <col customWidth="1" min="10" max="10" width="15.0"/>
    <col customWidth="1" min="11" max="11" width="18.0"/>
    <col customWidth="1" min="12" max="12" width="12.0"/>
    <col customWidth="1" min="13" max="14" width="34.0"/>
    <col customWidth="1" min="15" max="16" width="16.0"/>
    <col customWidth="1" min="17" max="17" width="20.0"/>
    <col customWidth="1" min="18" max="26" width="8.71"/>
  </cols>
  <sheetData>
    <row r="1" ht="27.75" customHeight="1">
      <c r="A1" s="117" t="s">
        <v>1316</v>
      </c>
      <c r="B1" s="118"/>
      <c r="C1" s="118"/>
      <c r="D1" s="118"/>
      <c r="E1" s="118"/>
      <c r="F1" s="118"/>
      <c r="G1" s="118"/>
      <c r="H1" s="119"/>
    </row>
    <row r="2" ht="18.0" customHeight="1"/>
    <row r="3" ht="18.0" customHeight="1">
      <c r="A3" s="131" t="s">
        <v>1315</v>
      </c>
    </row>
    <row r="4" ht="18.0" customHeight="1"/>
    <row r="5" ht="18.0" customHeight="1">
      <c r="A5" s="126" t="s">
        <v>1039</v>
      </c>
      <c r="B5" s="126" t="s">
        <v>1040</v>
      </c>
      <c r="C5" s="126" t="s">
        <v>1041</v>
      </c>
      <c r="D5" s="126" t="s">
        <v>10</v>
      </c>
      <c r="E5" s="126" t="s">
        <v>505</v>
      </c>
      <c r="F5" s="126" t="s">
        <v>313</v>
      </c>
      <c r="G5" s="126" t="s">
        <v>6</v>
      </c>
      <c r="H5" s="126" t="s">
        <v>1042</v>
      </c>
      <c r="I5" s="126" t="s">
        <v>1043</v>
      </c>
      <c r="J5" s="126" t="s">
        <v>12</v>
      </c>
      <c r="K5" s="126" t="s">
        <v>1044</v>
      </c>
      <c r="L5" s="126" t="s">
        <v>1045</v>
      </c>
      <c r="M5" s="126" t="s">
        <v>1046</v>
      </c>
      <c r="N5" s="126" t="s">
        <v>726</v>
      </c>
      <c r="O5" s="126" t="s">
        <v>1047</v>
      </c>
      <c r="P5" s="126" t="s">
        <v>442</v>
      </c>
      <c r="Q5" s="126" t="s">
        <v>1048</v>
      </c>
    </row>
    <row r="6" ht="18.0" customHeight="1">
      <c r="A6" s="97" t="str">
        <f>IFERROR(__xludf.DUMMYFUNCTION("FILTER('WORK DESK — UPDATE'!A6:Q1004,('WORK DESK — UPDATE'!D6:D1004=""Moises"")*('WORK DESK — UPDATE'!J6:J1004&lt;&gt;""Done"")*('WORK DESK — UPDATE'!J6:J1004&lt;&gt;""Dropped""),""No open items"")"),"#N/A")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46.0"/>
    <col customWidth="1" min="4" max="4" width="16.0"/>
    <col customWidth="1" min="5" max="5" width="18.0"/>
    <col customWidth="1" min="6" max="6" width="12.0"/>
    <col customWidth="1" min="7" max="7" width="14.0"/>
    <col customWidth="1" min="8" max="8" width="20.0"/>
    <col customWidth="1" min="9" max="9" width="13.0"/>
    <col customWidth="1" min="10" max="10" width="15.0"/>
    <col customWidth="1" min="11" max="11" width="18.0"/>
    <col customWidth="1" min="12" max="12" width="12.0"/>
    <col customWidth="1" min="13" max="14" width="34.0"/>
    <col customWidth="1" min="15" max="16" width="16.0"/>
    <col customWidth="1" min="17" max="17" width="20.0"/>
    <col customWidth="1" min="18" max="26" width="8.71"/>
  </cols>
  <sheetData>
    <row r="1" ht="27.75" customHeight="1">
      <c r="A1" s="117" t="s">
        <v>1317</v>
      </c>
      <c r="B1" s="118"/>
      <c r="C1" s="118"/>
      <c r="D1" s="118"/>
      <c r="E1" s="118"/>
      <c r="F1" s="118"/>
      <c r="G1" s="118"/>
      <c r="H1" s="119"/>
    </row>
    <row r="2" ht="18.0" customHeight="1"/>
    <row r="3" ht="18.0" customHeight="1">
      <c r="A3" s="131" t="s">
        <v>1318</v>
      </c>
    </row>
    <row r="4" ht="18.0" customHeight="1"/>
    <row r="5" ht="18.0" customHeight="1">
      <c r="A5" s="126" t="s">
        <v>1039</v>
      </c>
      <c r="B5" s="126" t="s">
        <v>1040</v>
      </c>
      <c r="C5" s="126" t="s">
        <v>1041</v>
      </c>
      <c r="D5" s="126" t="s">
        <v>10</v>
      </c>
      <c r="E5" s="126" t="s">
        <v>505</v>
      </c>
      <c r="F5" s="126" t="s">
        <v>313</v>
      </c>
      <c r="G5" s="126" t="s">
        <v>6</v>
      </c>
      <c r="H5" s="126" t="s">
        <v>1042</v>
      </c>
      <c r="I5" s="126" t="s">
        <v>1043</v>
      </c>
      <c r="J5" s="126" t="s">
        <v>12</v>
      </c>
      <c r="K5" s="126" t="s">
        <v>1044</v>
      </c>
      <c r="L5" s="126" t="s">
        <v>1045</v>
      </c>
      <c r="M5" s="126" t="s">
        <v>1046</v>
      </c>
      <c r="N5" s="126" t="s">
        <v>726</v>
      </c>
      <c r="O5" s="126" t="s">
        <v>1047</v>
      </c>
      <c r="P5" s="126" t="s">
        <v>442</v>
      </c>
      <c r="Q5" s="126" t="s">
        <v>1048</v>
      </c>
    </row>
    <row r="6" ht="18.0" customHeight="1">
      <c r="A6" s="97" t="str">
        <f>IFERROR(__xludf.DUMMYFUNCTION("FILTER('WORK DESK — UPDATE'!A6:Q1004,(('WORK DESK — UPDATE'!Q6:Q1004=""Yes"")+('WORK DESK — UPDATE'!G6:G1004=""Yes""))*('WORK DESK — UPDATE'!J6:J1004&lt;&gt;""Done"")*('WORK DESK — UPDATE'!J6:J1004&lt;&gt;""Dropped""),""No management items"")"),"#N/A")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